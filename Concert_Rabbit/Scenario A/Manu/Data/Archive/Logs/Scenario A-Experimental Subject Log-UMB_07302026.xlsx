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"/>
    </mc:Choice>
  </mc:AlternateContent>
  <xr:revisionPtr revIDLastSave="1602" documentId="120_S{8A473505-FBFA-518A-8684-AC9ADA0CD76C}" xr6:coauthVersionLast="47" xr6:coauthVersionMax="47" xr10:uidLastSave="{FBE70119-1950-45C4-8CAC-4E73E9C725AA}"/>
  <bookViews>
    <workbookView xWindow="-960" yWindow="744" windowWidth="21600" windowHeight="11136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</calcChain>
</file>

<file path=xl/sharedStrings.xml><?xml version="1.0" encoding="utf-8"?>
<sst xmlns="http://schemas.openxmlformats.org/spreadsheetml/2006/main" count="1454" uniqueCount="363">
  <si>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</si>
  <si>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</si>
  <si>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</si>
  <si>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</si>
  <si>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</si>
  <si>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</si>
  <si>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</si>
  <si>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</si>
  <si>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</si>
  <si>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</si>
  <si>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</si>
  <si>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</si>
  <si>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</si>
  <si>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</si>
  <si>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</si>
  <si>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</si>
  <si>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</si>
  <si>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</si>
  <si>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</si>
  <si>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</si>
  <si>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</si>
  <si>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</si>
  <si>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</si>
  <si>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</si>
  <si>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</si>
  <si>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</si>
  <si>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</si>
  <si>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</si>
  <si>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</si>
  <si>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</si>
  <si>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</si>
  <si>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</si>
  <si>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</si>
  <si>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</si>
  <si>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A-EMv2.0-SAC</t>
  </si>
  <si>
    <t>01</t>
  </si>
  <si>
    <t>Excluded</t>
  </si>
  <si>
    <t>LAC &lt;5 @ EOS</t>
  </si>
  <si>
    <t>*No TEG and COAG tests</t>
  </si>
  <si>
    <t>EM + Albumin</t>
  </si>
  <si>
    <t>AEM-A</t>
  </si>
  <si>
    <t>02</t>
  </si>
  <si>
    <t>Premature death</t>
  </si>
  <si>
    <t>rabbit died 2:12 pm, VAB dislodged; Rabbit died, MAP &lt; 40, notes from PI in record.; rabbit recieved EM with albumin (no WBA) and was renamed from A-WBAEM2 to A-WBAEM-A2 
Note from chart: Animal did not meet criteria for terminal morbidity</t>
  </si>
  <si>
    <r>
      <rPr>
        <b/>
        <sz val="11"/>
        <color theme="1"/>
        <rFont val="Arial"/>
        <family val="2"/>
      </rPr>
      <t>03/26/25</t>
    </r>
    <r>
      <rPr>
        <sz val="11"/>
        <color theme="1"/>
        <rFont val="Arial"/>
        <family val="2"/>
      </rPr>
      <t xml:space="preserve">
KT: Check if time of death in chart was day before
ACR: Animal died at 2:12pm on the date of exp (10/17). VAB dislodge means animal is out of protocol &amp; does not meet criteria for Survival analysis … I removed the #1 from Survival Column</t>
    </r>
  </si>
  <si>
    <t>03</t>
  </si>
  <si>
    <t>Included</t>
  </si>
  <si>
    <t xml:space="preserve">rabbit recieved EM with albumin (no WBA) and was renamed from A-WBAEMA-05 to AEM-A 03/ A-EMv2-SAC 03 </t>
  </si>
  <si>
    <t>A-EMv2.0-WBA</t>
  </si>
  <si>
    <t>Whole Blood Analog + EM</t>
  </si>
  <si>
    <t>AWBAEM</t>
  </si>
  <si>
    <t>03/25/25
ACR: should this be included or excluded?
Checkin w/ AD on 03/28/2025
Allan Mtg: 03/28/25
Animal is still included</t>
  </si>
  <si>
    <t>EOS lac of 20. Did not recover from shock, died 1:16 pm (~2 hours after resuscitation). Euthanized due to terminal morbidity criteria met</t>
  </si>
  <si>
    <t>ACR: 03/25/25
Go back and upload data. Include in ES and Surv analysis
03/31/25
ACR: Uploaded all data</t>
  </si>
  <si>
    <t>not WBA</t>
  </si>
  <si>
    <t>09/12/25
ACR: Not WBA- not sure what it is
Checking w/ Mia to see if wen know what it would be &lt;-- she didn't know. Unsure where "Not WBA" note came from
^^Check w/ Shelby next</t>
  </si>
  <si>
    <t>LAC &lt; 5 @ EOS</t>
  </si>
  <si>
    <t>Bad Telemetry Readings-- ?? Manual BP, no HR</t>
  </si>
  <si>
    <t>*24H blood draw taken from venous line due to inoperable arterial line</t>
  </si>
  <si>
    <t>Material Quality Deviation</t>
  </si>
  <si>
    <t>Contaminated WBA</t>
  </si>
  <si>
    <t xml:space="preserve">*VAB blocked, no 24H blood work collected </t>
  </si>
  <si>
    <t>LAC &lt; 5 @ EOS + wrong volume drawn</t>
  </si>
  <si>
    <t>wrong blood volume drawn</t>
  </si>
  <si>
    <t>n/a</t>
  </si>
  <si>
    <t>Experiment not performed</t>
  </si>
  <si>
    <t>Rabbit renamed to AEM-A 02</t>
  </si>
  <si>
    <t>04</t>
  </si>
  <si>
    <t>Device Failure</t>
  </si>
  <si>
    <t>Vascular Access Button Device failure</t>
  </si>
  <si>
    <t>05</t>
  </si>
  <si>
    <t>Rabbit renamed to AEM-A 03</t>
  </si>
  <si>
    <t>06</t>
  </si>
  <si>
    <t>Telemetry device found outside of animal the evening of the surgery day. Could not perform experiment, approved to euthanize.</t>
  </si>
  <si>
    <t>07</t>
  </si>
  <si>
    <t xml:space="preserve">Bad Telemetry readings, *used the venous line for bleed and other timepoints, *6h teg did not run, machine error and not enough blood to rerun	</t>
  </si>
  <si>
    <t>03/25/25
Should NOT be included in survival if we do not trust telem. Should we include blood data?
ACR: Checking w/ Allan @ Animal Core mtg 03/28/25
Allan Mtg: 03/28
AD: Confirmed to exclude All (MAP + Diagnostic data)</t>
  </si>
  <si>
    <t>08</t>
  </si>
  <si>
    <t xml:space="preserve">*Telemetry issues- exclude HR &amp; MAP </t>
  </si>
  <si>
    <t>A-EMv3.0L-SAC</t>
  </si>
  <si>
    <t>Problem w/ Transfusion  Material</t>
  </si>
  <si>
    <t>Per Allan: "Problem w/ material"- Issue w/ Hydration/Viscosity // *Died @ 5:18 am 3/13/25</t>
  </si>
  <si>
    <t>EMv3 (Lyophilized) + Albumin</t>
  </si>
  <si>
    <t>AEMv3L-A</t>
  </si>
  <si>
    <t>Per Allan: "Problem w/ material"- Issue w/ Osmolality // *Rabbit died 12:59pm 3/20/25 before 3H timepoint</t>
  </si>
  <si>
    <t>* after death lac 9.2
*died 9:57 AM 27-Mar before 24H</t>
  </si>
  <si>
    <t>*died 5:07PM after 6h timepoint + no BL CMP</t>
  </si>
  <si>
    <t>** Died at 12:04PM after 1H timepoint</t>
  </si>
  <si>
    <t>Died during shock</t>
  </si>
  <si>
    <t>**Died during shock (10:14am, 04/22)</t>
  </si>
  <si>
    <t>**Died before 24h (6:02pm, 4/22)</t>
  </si>
  <si>
    <t>*Died before 24h timepoint 6:45 pm 4/30/25</t>
  </si>
  <si>
    <t>09</t>
  </si>
  <si>
    <t>*Died at 3h timepoint 2:17 pm 5/1/2025</t>
  </si>
  <si>
    <t>A-EMv3.0-SAC</t>
  </si>
  <si>
    <t>Originally was "AEM-A 04" or "WBAEM A4" (Chart)</t>
  </si>
  <si>
    <t>EMv3 + Albumin</t>
  </si>
  <si>
    <t>03/31/25
Renamed to AEMv3-A 01 
Originally was "AEM-A 04"</t>
  </si>
  <si>
    <t>AEMv3-A</t>
  </si>
  <si>
    <t>Originally was "AEM-A 05"  or "A-WBAEM-A5"</t>
  </si>
  <si>
    <t>03/31/25
Renamed to AEMv3-A 01 
Originally was "AEM-A 05"</t>
  </si>
  <si>
    <t>*Notes: Previously named AEMv3-AC 01, C= cryoprotectant 
or "AEMv3-A03" (Chart)
// No 24H TEG</t>
  </si>
  <si>
    <t>03/31/25
Renamed to AEMv3-A 01 
Originally was "AEMv3-AC 01"</t>
  </si>
  <si>
    <t>A-EMv3.0-WBA</t>
  </si>
  <si>
    <t>Whole Blood Analog + EMv3</t>
  </si>
  <si>
    <t>AWBAEM-v3</t>
  </si>
  <si>
    <t>Per AD: "Issue with EMv3 Dose"</t>
  </si>
  <si>
    <t>*Died before 24H timepoint 5:38 am 4/24</t>
  </si>
  <si>
    <t>Per AD: "EM formulation error"</t>
  </si>
  <si>
    <t>***Died after 6H timepoint at 11:27PM</t>
  </si>
  <si>
    <t xml:space="preserve">ACR 09/12/25
Current label= "A-EMv3-SAC 05"
^need to change physical/logs </t>
  </si>
  <si>
    <t>couldnt perform experiment due to device failure</t>
  </si>
  <si>
    <t xml:space="preserve">ACR 09/12/25
Current label= "A-EMv3-SAC 06" 
^need to change physical/logs </t>
  </si>
  <si>
    <t>**Died after 6H timepoint at 7:21 pm// no 1H TEG// No TEG data for 3H &amp; 6H (EDTA)</t>
  </si>
  <si>
    <t xml:space="preserve">ACR 09/12/25
Current label= "A-EMv3-SAC 07" 
^need to change physical/logs </t>
  </si>
  <si>
    <t>A-EMv3.1-SAC</t>
  </si>
  <si>
    <r>
      <rPr>
        <b/>
        <sz val="11"/>
        <color rgb="FF000000"/>
        <rFont val="Arial"/>
      </rPr>
      <t>*Can't find folder*</t>
    </r>
    <r>
      <rPr>
        <sz val="11"/>
        <color rgb="FF000000"/>
        <rFont val="Arial"/>
      </rPr>
      <t xml:space="preserve"> // Died 9:42 am 4/18/25 (before 24H timepoint) // Missing data due to CMP/coag malfunction- 1H CMP, 3H CMP, 6H Coag</t>
    </r>
  </si>
  <si>
    <t>EMv3.1 + Standalone Component</t>
  </si>
  <si>
    <t>AEMv3.1-SAC</t>
  </si>
  <si>
    <t>Died before 6H timepoint (2:26pm) // Missing some Coag/CMP data due to machine error- EOR CMP + coag, 1h CMP + coag, 3H CMP+ coag</t>
  </si>
  <si>
    <t>A-EMv4.0-SAC</t>
  </si>
  <si>
    <t>*No 24h timepoint, died at 7:06am 05/16/25</t>
  </si>
  <si>
    <t>EMv4 + Albumin</t>
  </si>
  <si>
    <t>A-EMv4.12L-SAC</t>
  </si>
  <si>
    <t>Formulation Error</t>
  </si>
  <si>
    <t>Died 8:14AM 7/11 before 24H timepoint.</t>
  </si>
  <si>
    <t>EMv4.12L (Lyophilized) + Albumin</t>
  </si>
  <si>
    <t>Died at 12:50pm before 3H timepoint</t>
  </si>
  <si>
    <t>EMv4.12 (Lyophilized) + Albumin</t>
  </si>
  <si>
    <t>Died at 12:21pm before 3H timepoint</t>
  </si>
  <si>
    <t>A-EMv4.12-SAC</t>
  </si>
  <si>
    <t>*Issue with Telemetry device, but checked with non-invasive blood pressure monitor &amp; it was comparable.</t>
  </si>
  <si>
    <t>EMv4.12 + Albumin</t>
  </si>
  <si>
    <t>A-EMv4.14L-SAC</t>
  </si>
  <si>
    <t>?</t>
  </si>
  <si>
    <t>Died at 11:51am (before 1h TP)</t>
  </si>
  <si>
    <t>EMv4.14 (Lyophilized) + Albumin</t>
  </si>
  <si>
    <t>A-EMv4.14-SAC</t>
  </si>
  <si>
    <t>*No 6h TEG</t>
  </si>
  <si>
    <t>EMv4.14 + Albumin</t>
  </si>
  <si>
    <t>*thought started at 9:03 initially on experimental sheet // No 24H TEG</t>
  </si>
  <si>
    <t>A-EMv4.15DL-SAC</t>
  </si>
  <si>
    <t>motion event, died at 3:53 pm - 4H after EOR</t>
  </si>
  <si>
    <t>EMv4.15 (Lyophilized) + DPG + Albumin</t>
  </si>
  <si>
    <t>Found dead; plummeting BP @ 1:22pm</t>
  </si>
  <si>
    <t>A-EMv4.15L-SAC</t>
  </si>
  <si>
    <t>Formulation Consderation</t>
  </si>
  <si>
    <t>Euthanized after 3H timepoint (3pm) due to exclusion criteria</t>
  </si>
  <si>
    <t>EMv4.4 (Lyophilized) + DPG + Albumin</t>
  </si>
  <si>
    <t>rabbit died at 1:03 PM. 2H after resuscitation (EOR 11:09am)</t>
  </si>
  <si>
    <t>A-EMv4.15-SAC</t>
  </si>
  <si>
    <t>EMv4.15 + Albumin</t>
  </si>
  <si>
    <t>A-EMv4.2-SAC</t>
  </si>
  <si>
    <t>**Survived 24hr time point but hypothermic</t>
  </si>
  <si>
    <t>A-EMv4.3-SAC</t>
  </si>
  <si>
    <t>**Died at start of experiment (@9:30am)</t>
  </si>
  <si>
    <t>EMv4.3 + Albumin</t>
  </si>
  <si>
    <t>A-EMv4.4DL-SAC</t>
  </si>
  <si>
    <t>Formulation consideration</t>
  </si>
  <si>
    <t xml:space="preserve">Died overnight before 24H (12:10am) </t>
  </si>
  <si>
    <t>Died during Shock phase (10:52am)</t>
  </si>
  <si>
    <t>Euthanized after 1H timepoint (12:57pm)  due to exclusion criteria </t>
  </si>
  <si>
    <t>A-EMv4.4L-SAC</t>
  </si>
  <si>
    <t>Euthanized at 2:25PM 7/8 after 3H</t>
  </si>
  <si>
    <t>EMv4.4 (Lyophilized) + Albumin</t>
  </si>
  <si>
    <t>Euthanized at 5:08pm after 6H</t>
  </si>
  <si>
    <t>Died at 1:24PM before 3H timepoint </t>
  </si>
  <si>
    <t>A-EMv4.4SAC</t>
  </si>
  <si>
    <t>EMv4.4 + Albumin</t>
  </si>
  <si>
    <t>A-EMv4.4-SAC</t>
  </si>
  <si>
    <t>Died at 8:56AM before 24H timepoint 7/10</t>
  </si>
  <si>
    <t>A-EMv4.5-SAC</t>
  </si>
  <si>
    <t>A-EMv5.0L-SAC</t>
  </si>
  <si>
    <t>**Died before 24 hr timepoint (@6:20pm) // didn't have enough tx volume</t>
  </si>
  <si>
    <t>EMv5 (Lyophilized) + Albumin</t>
  </si>
  <si>
    <t>*No 6H CBC// 24H ABG= Taken from White Line</t>
  </si>
  <si>
    <t>A-EMv5.0-SAC</t>
  </si>
  <si>
    <t>* no 6h teg</t>
  </si>
  <si>
    <t>EMv5 + Albumin</t>
  </si>
  <si>
    <t>Transfusion volume was only 58mL, didn't make enough solution</t>
  </si>
  <si>
    <t>A-EMv5.2-SAC</t>
  </si>
  <si>
    <t>** Died at 10:55AM after EOS timepoint (Before EOR)</t>
  </si>
  <si>
    <t>EMv5.2 + Albumin</t>
  </si>
  <si>
    <t>**Euthanized at 8:59pm, per AD request (hypothermia &amp; accelerated breathing_ // No EOR TEG
**Died between 6hr and 24 hr timepoint at 8:59pm // No EOR TEG</t>
  </si>
  <si>
    <t>A-EMv6.1.1-SAC</t>
  </si>
  <si>
    <t>Could not get 6H CMP, Teg, Plasma/Could not get 24H timepoint data // Did not get 6H timepoint on time due to red line not working</t>
  </si>
  <si>
    <t>EMv6.1.3 + Albumin</t>
  </si>
  <si>
    <t>Rabbit was euthanized at 10:30 pm 3/18.  Took pre-death timepoint at 10:19pm</t>
  </si>
  <si>
    <t>A-EMv6.1.3-SAC</t>
  </si>
  <si>
    <t>Premature death- seizure event &amp; died at 5:41pm; Elevated lactate at 6h, wasn't moving post resuscitation (not sure if Ket re-dose or EM). Also hypocoagulable TEG</t>
  </si>
  <si>
    <t>A-EMv6.3.3c-SAC</t>
  </si>
  <si>
    <t>A-EMv6.5.3-SAC</t>
  </si>
  <si>
    <t>Euthanized at 1:33 PM; Didn't resuscitate with full volume, met seizure euthanasia alternative criteria</t>
  </si>
  <si>
    <t>A-EMv6.6.3-SAC</t>
  </si>
  <si>
    <t>A-FB</t>
  </si>
  <si>
    <t>Fresh</t>
  </si>
  <si>
    <t>AB</t>
  </si>
  <si>
    <t>Included now that the exclusion criteria is &gt;25 (LAC @ EOS  = 21)</t>
  </si>
  <si>
    <t>Died between EOS &amp; EOR (10:46am)</t>
  </si>
  <si>
    <t>Included now that the exclusion criteria is &gt;25  (LAC @ EOS  = 25)</t>
  </si>
  <si>
    <t>**6H and 24H TEGS did not work</t>
  </si>
  <si>
    <t>LAC &gt;25 @ EOS (LAC= 27)</t>
  </si>
  <si>
    <t xml:space="preserve">*PI gave permission to euthanize at 7:34pm after 6H timepoint due to lethargy and hypothermia </t>
  </si>
  <si>
    <t>A-HLR</t>
  </si>
  <si>
    <t>LacRing + 30% Hemorrhage</t>
  </si>
  <si>
    <t>AHLR</t>
  </si>
  <si>
    <t>**Died before 6h timepoint (1:37 pm 4/29/25) // Removed CBC for 1H, issue with CBC machine &amp; 1H timepoint Hb was too high for shock state (15.3)</t>
  </si>
  <si>
    <t>LacRing + 55% Hemorrhage</t>
  </si>
  <si>
    <t xml:space="preserve">**Died during Shock (10:24am) </t>
  </si>
  <si>
    <t>10</t>
  </si>
  <si>
    <t>11</t>
  </si>
  <si>
    <t>*Died after 1H (12:28pm)</t>
  </si>
  <si>
    <t>12</t>
  </si>
  <si>
    <t>** Died during shock at 10:59 AM</t>
  </si>
  <si>
    <t>13</t>
  </si>
  <si>
    <t>** Died during shock around 10:31AM (telemetry issues) // No BL TEGs (EDTA)</t>
  </si>
  <si>
    <t>14</t>
  </si>
  <si>
    <t>**Died at 12:33 am 5/9 between 6h and 24h timepoints // No TEG data for BL, EOS, EOR, 1H, 3H</t>
  </si>
  <si>
    <t>15</t>
  </si>
  <si>
    <t>16</t>
  </si>
  <si>
    <t>17</t>
  </si>
  <si>
    <t>18</t>
  </si>
  <si>
    <t>19</t>
  </si>
  <si>
    <t>*died before 24H at 10:12pm, EOS&amp;EOR lac 25</t>
  </si>
  <si>
    <t>20</t>
  </si>
  <si>
    <t>21</t>
  </si>
  <si>
    <t>22</t>
  </si>
  <si>
    <t>VAB Complications</t>
  </si>
  <si>
    <t xml:space="preserve">permission to euthanize at 10:57a 8/29 before 24h due to motion event </t>
  </si>
  <si>
    <t>23</t>
  </si>
  <si>
    <t>No experiment Performed: Telemetry Issues</t>
  </si>
  <si>
    <t>Telemetry readings looked unreliable- euthanized and necropsy showed clot in catheter</t>
  </si>
  <si>
    <t>LacRing + 45% Hemorrhage</t>
  </si>
  <si>
    <t>24</t>
  </si>
  <si>
    <t>Rabit died before EOS @ 10:29am</t>
  </si>
  <si>
    <t>25</t>
  </si>
  <si>
    <t>Rabit died before EOS @ 10:04am</t>
  </si>
  <si>
    <t>A-LR</t>
  </si>
  <si>
    <t>LacRing</t>
  </si>
  <si>
    <t>ALR</t>
  </si>
  <si>
    <t>Died during recovery (1:59pm, after 3H)</t>
  </si>
  <si>
    <t>No info on Experiment</t>
  </si>
  <si>
    <t>Folder does not have a lot of information- just 6 &amp; 24hr printouts (No chart/Surgery info)</t>
  </si>
  <si>
    <t>ACR: 09/12/25
experimental date = 12/20/23 (confirmed w/ Master Log)</t>
  </si>
  <si>
    <t xml:space="preserve">“ALR 20” labels were actually “ALR 21” (an included rabbit), </t>
  </si>
  <si>
    <t>ACR: 09/12/25
ACR found the Chart &amp; test print-outs + made new folder for it. Now need to fill out info (Low/High Res)</t>
  </si>
  <si>
    <t>Died during shock (Just baseline sample)- died @8:20am</t>
  </si>
  <si>
    <t>Protocol violation</t>
  </si>
  <si>
    <t>Blood Samples drawn from Venous Line. "Died 10:58AM, seizure (post 1H), all timepoints drawn from white"
 // Originally Excluded, Now included</t>
  </si>
  <si>
    <t>KT: 03/25/25
We will excluded this rabbit from all ES analysis, but should it be included for survival
ACR: Per mtg w/ Allan (03/26) it will be a case by case basis. Going to ask &amp; show him chart tomorrow (03/28)- input time SOS &amp; Time of Death jic
ACR: 03/28/25
Post Check w/ Allan: this rabbit is now Included- LAC from Venous line wasn't too high
Changes below: 
Log:  Excluded to Included &amp; "Survival" to 1
Low Res: Changed back to Included
03/31/2025
ACR: Uploaded Low &amp; High Res data
There is a lot of missing Low Res data</t>
  </si>
  <si>
    <t>high lactate @ EOS (LAC= 20)- died after EOR? // "issues w/ white line" might be why Resuscitation took longer</t>
  </si>
  <si>
    <t>Look at chart for time of death. Should this be included for ES or survival?
ACR: Time of Death was ~12pm (after EOR)- I didn't find it on the charts though- had to find it on Karen's Log
Did they euthanize early bc of high lactate?
Allan mtg: 03/28
AD: Never euthanized before end of experiment in past just because high lac.
03/31/25 
ACR: uploaded Low Res &amp; High Res data
Appears that Terminal Morbidity occurred at 10:26am (which was after EOR)
There is a lot of missing Low Res Data</t>
  </si>
  <si>
    <t>Euthanized early- Personnel availability, no 24 hr timepoint, some files/sheets say ARB17 (orginal name)</t>
  </si>
  <si>
    <t>ACR: 03/25/25
Why Euthanized? Check w/ Allan
Allan Mtg: 03/28/25
AD: likely not a natural death- Need to exclude this
ACR: Changed Included to excluded</t>
  </si>
  <si>
    <t>6hr could not be taken due to inoperable VAB</t>
  </si>
  <si>
    <t xml:space="preserve"> "Seizure at eor at 10:13 am, seizure at 24h 9:36"
*No 6h TEG (Error), also no CBC (error?)</t>
  </si>
  <si>
    <t>Whole blood analog was contaminated, rabbit was euthanized</t>
  </si>
  <si>
    <t xml:space="preserve"> inoperable monitoring system</t>
  </si>
  <si>
    <t>Died between 1&amp; 3H timepoints</t>
  </si>
  <si>
    <t>Was euthanized after 3H timepoint due to meeting terminal morbidity criteria</t>
  </si>
  <si>
    <t>A-pHb-SAC</t>
  </si>
  <si>
    <t>pHb + Albumin</t>
  </si>
  <si>
    <t>ApHb-A</t>
  </si>
  <si>
    <t>Bad telemetery readings</t>
  </si>
  <si>
    <t>Died during Shock</t>
  </si>
  <si>
    <t>*died at 5:25AM (03/05/25), could not get 24h timepoint</t>
  </si>
  <si>
    <t>LAC &gt;25 @ EOS (LAC=30)</t>
  </si>
  <si>
    <t>*Died after 6H timepoint, no 24H, originally named ApHb-A 16</t>
  </si>
  <si>
    <t>*CBC for 6H was referigerated overnight &amp; run the next day</t>
  </si>
  <si>
    <t>VAB port disconnected- during administration of pHb-A . Euthanized after 1H blood draw</t>
  </si>
  <si>
    <t xml:space="preserve">24H TimePoint= drawn from Vein </t>
  </si>
  <si>
    <t>LAC= exactly 20 @ EOS, still included</t>
  </si>
  <si>
    <t>A-pHb-WBA</t>
  </si>
  <si>
    <t>Whole Blood Analog + pHb</t>
  </si>
  <si>
    <t>AWBApHb</t>
  </si>
  <si>
    <t>*No 24H timepoint, died at 3:21 am on 1/17/25</t>
  </si>
  <si>
    <t>Could not draw blood @EOS. Only BL sample drawn</t>
  </si>
  <si>
    <t>Rabbit euthanized prior to beginning experiment due to respiratory distress</t>
  </si>
  <si>
    <t xml:space="preserve"> Rabbit died 3:48 pm (~5 hours after resuscitation). Did not recieve full transfusion volume, instructed to stop administiring due to development of hypertension + labored breathing</t>
  </si>
  <si>
    <t>Allan: "Animals did not include full WBA- they were "internal" animals" // check for name change</t>
  </si>
  <si>
    <t xml:space="preserve">Per Chart: VAB failure During Resuscitation. AD instructed to euthanize animal. </t>
  </si>
  <si>
    <t>Included now that the exclusion criteria is &gt;25 (LAC @ EOS = 24)</t>
  </si>
  <si>
    <t>03/28/2025
KT: Check Reason for Exclusion
ACR: Reason was VAB failure &amp; AD instructed to Euthanize. I updated reason for exclusion &amp; Notes</t>
  </si>
  <si>
    <t>Died at 10:10am before Resuscitation could occur. Sudden drop in BP (start of Hem= 8:27am)</t>
  </si>
  <si>
    <t>03/28/2025
KT: Check Reason for Exclusion
ACR: Died during Shock. I updated Notes &amp; added Time SOS &amp; Time of Death</t>
  </si>
  <si>
    <t>A-SB</t>
  </si>
  <si>
    <t>Rabbit died during surgery. "Aspirated and Died before first incision; no experiment performed"</t>
  </si>
  <si>
    <t>Stored Blood</t>
  </si>
  <si>
    <t>ARB</t>
  </si>
  <si>
    <t>"Injury Fall (12:40PM)/euthanized before 6h. 6h timepoint at 1:41pm"</t>
  </si>
  <si>
    <t>"8:45AM rabbit became progressively hypotensive, died during post hemorrhage downtime"</t>
  </si>
  <si>
    <t>Died before resuscitation</t>
  </si>
  <si>
    <t>"Died 9:44AM, bleed still not complete after 2+ hours due to lines" Died before resuscitation</t>
  </si>
  <si>
    <t>Doesn't exist- Changed to a different number (ALR 28)</t>
  </si>
  <si>
    <t>"could not get TEG data 6h+24h"</t>
  </si>
  <si>
    <t>"Died 5:03AM, tore sutures on left leg, death by blood loss"</t>
  </si>
  <si>
    <t>"Note: All blood samples drawn from venous line, except 24H sample "</t>
  </si>
  <si>
    <t>"resus with red line, 11:30A developed moderate resp distress during resus, monitored every 10 mins, rabbit recovered 12:03P and made it to 24H"- PM: " Against protocol"</t>
  </si>
  <si>
    <t>ACR: 03/25/25
ACR: Should it be included if it's against protocol?
Should it be in the Survival Analysis?
Allan Mtg: 03/28
AD: Need to exclude
ACR: Changed from Included to Excluded
Updated tabs on Low + High Res sheets to be excluded</t>
  </si>
  <si>
    <t>Died Overnight- after surgery</t>
  </si>
  <si>
    <t>Note: blood was attempted to draw from lines and ear but unable to pull more than 1mL for 24H. Attempted by Tikina, Paisley, and Dr. Doctor.</t>
  </si>
  <si>
    <t>Died after surgery. "Rabbit incision site was checked after surgery at 9:50AM, around 12:50 team noticed blood under skin near incision site, team tried to recover it but rabbit bled out and died 1:08PM. Could not get baseline data"</t>
  </si>
  <si>
    <t xml:space="preserve">**AD gave permission to euthanize after 6H, lac was 30 </t>
  </si>
  <si>
    <t>Included now that the exclusion criteria is &gt;25 (LAC @ EOS = 21)</t>
  </si>
  <si>
    <t>"protocol violation: unspecified"</t>
  </si>
  <si>
    <t>LAC &gt;25 @ EOS (LAC= 26)</t>
  </si>
  <si>
    <t>"High Lactate"</t>
  </si>
  <si>
    <t>elevated lactate, euthanized right before 6h (4:10pm)- 6h timepoint was taken before euth // ALSO all blood drawn from venous line (including bleed)</t>
  </si>
  <si>
    <r>
      <rPr>
        <b/>
        <sz val="11"/>
        <color theme="1"/>
        <rFont val="Arial"/>
        <family val="2"/>
      </rPr>
      <t>03/25/25</t>
    </r>
    <r>
      <rPr>
        <sz val="11"/>
        <color theme="1"/>
        <rFont val="Arial"/>
        <family val="2"/>
      </rPr>
      <t xml:space="preserve">
KT: check chart for LAC @ EOS
ACR: confirmed from chart that they did not get an ABG  for EOS (aka no LAC). Likely exclude then because we don't have info if it meets criteria.
I still filled in Time SOS &amp; Death jic- also removed "1" from survival column</t>
    </r>
  </si>
  <si>
    <t>31</t>
  </si>
  <si>
    <t>No TEG @ BL (User Error)</t>
  </si>
  <si>
    <t>No TEG @ 1H (User Error)</t>
  </si>
  <si>
    <t>LAC &gt;25 @ EOS (LAC=26)</t>
  </si>
  <si>
    <t>EMv6.3.3c + Albumin</t>
  </si>
  <si>
    <t>EMv6.1.1 + Albumin</t>
  </si>
  <si>
    <t>LAC &gt; 25 @ EOS (&gt;30)</t>
  </si>
  <si>
    <t>Seizure temporally associated with timepoint</t>
  </si>
  <si>
    <t>Including for now, confirmed w/ AD</t>
  </si>
  <si>
    <t>EMv6.0.3cs + Albumin</t>
  </si>
  <si>
    <t>EMv6.5.3 + Albumin</t>
  </si>
  <si>
    <t>EMv6.6.3 + Albumin</t>
  </si>
  <si>
    <t>Excluded?</t>
  </si>
  <si>
    <t>Seizures ~10min before 3H, data wasn't originally uploaded (04/20/26), also died before 24hr (23.5h)</t>
  </si>
  <si>
    <t>TEGs only for EOS,EOR, 3H, 24H</t>
  </si>
  <si>
    <t>A-EMv6.0.3sc-SAC</t>
  </si>
  <si>
    <t>No TEGs at 1hr &amp; 6h</t>
  </si>
  <si>
    <t>A-EMv6.0.3L-SAC</t>
  </si>
  <si>
    <t>EMv6.0.3 (Lyophilized) + Albumin</t>
  </si>
  <si>
    <t>Need to upload data; rabbit recieved EM with albumin (no WBA) and was renamed from A-WBAEM 23 to A-Ev2M-SAC 04</t>
  </si>
  <si>
    <t>A-EMv6.0.3-SAC</t>
  </si>
  <si>
    <t>Experimenal group deviation</t>
  </si>
  <si>
    <t>Could only remove 33% of TBV, potential pre-existing pathology (low PO2); Euthanized after 3h (2:08pm)</t>
  </si>
  <si>
    <t>Ran out of CMPs after EOR TimePoint</t>
  </si>
  <si>
    <t>LAC &lt; 5 @ EOS (4)</t>
  </si>
  <si>
    <t>26</t>
  </si>
  <si>
    <t>27</t>
  </si>
  <si>
    <t>Rabit died before EOS @ 10am</t>
  </si>
  <si>
    <t>LacRing + 50% Hemorrhage</t>
  </si>
  <si>
    <t>50% Hemorrhage</t>
  </si>
  <si>
    <t>EMv6.0.3 + Albumin</t>
  </si>
  <si>
    <t>(reclaimed Hb)</t>
  </si>
  <si>
    <t>1h CBC is wrong; no CMP data, 6h TEG= bubble</t>
  </si>
  <si>
    <t>Port Obstruction</t>
  </si>
  <si>
    <t>A-EMv6.0.3-NS</t>
  </si>
  <si>
    <t>EMv6.0.3 + Normal Saline</t>
  </si>
  <si>
    <t>No CMPs</t>
  </si>
  <si>
    <t>Rabbit almost died during shock, but resuscitated &amp; rabbit suvived for ~45min but was unconscious/non-reactive to stimuli</t>
  </si>
  <si>
    <t>Death due to shock</t>
  </si>
  <si>
    <t>Euthanized after 1H at 12:02p.  Rabbit demonstrated 3 seizures back-to-back.; No CMPs</t>
  </si>
  <si>
    <t>Rabbit died at 4:25am; 55mL EM + 5mL shed blood; No CMPs</t>
  </si>
  <si>
    <t>Venous Line= 24h</t>
  </si>
  <si>
    <t xml:space="preserve">Hemorrhage from Venous port (White); All timepoints from Venous port </t>
  </si>
  <si>
    <t>No TEG @ EOR (User Error); CBC: Questionable 3H/6H (clot?)</t>
  </si>
  <si>
    <t>24H Blood drawn from Ear Vein; Internal data: four seizures (10:35a, 11a, 11:05a. 11:34a)</t>
  </si>
  <si>
    <t>Internal Data: seizure at 4:20p (5min before 6h timepoint)</t>
  </si>
  <si>
    <t xml:space="preserve"> No TEG @ 6h (User Error)</t>
  </si>
  <si>
    <t>01/21/25
EOR &amp; Following timepoints were recorded incorrectly. ACR updated the chart &amp; Low + High Res data  //</t>
  </si>
  <si>
    <t>Maybe</t>
  </si>
  <si>
    <t>Majority of bleed= from white line (venous); 
EOR= from venous line; 
CBCs from EOS-24h= human CBC</t>
  </si>
  <si>
    <t>No 6h TEG or CBC; switched to new Blood Diagnostic Schedule- only 4TP (BL, EOS, 3h, 24h) for all assays</t>
  </si>
  <si>
    <t>No blood diagnostics except ABG for EOR, 1H, 6H (new sampling schedule)</t>
  </si>
  <si>
    <t>*24h CBC doesn't seem correct (high Hb, 20.1) No other notes to explain- deleted (07/26/26)</t>
  </si>
  <si>
    <t>Possible seizure @8:28a- self eliminated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</si>
</sst>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2"/>
      <color theme="1"/>
      <name val="Arial"/>
      <family val="2"/>
    </font>
    <font>
      <b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rgb="FF000000"/>
      <name val="Calibri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161">
    <xf numFmtId="0" fontId="0" fillId="0" borderId="0" xfId="0"/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7" fillId="0" borderId="0" xfId="1" applyFont="1" applyAlignment="1">
      <alignment horizontal="center" vertical="center"/>
    </xf>
    <xf numFmtId="14" fontId="17" fillId="0" borderId="0" xfId="1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2" borderId="0" xfId="1" applyFont="1" applyFill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16" fillId="0" borderId="0" xfId="1"/>
    <xf numFmtId="49" fontId="20" fillId="0" borderId="0" xfId="0" applyNumberFormat="1" applyFont="1" applyAlignment="1">
      <alignment horizontal="center" vertical="center" readingOrder="1"/>
    </xf>
    <xf numFmtId="49" fontId="17" fillId="0" borderId="0" xfId="1" applyNumberFormat="1" applyFont="1" applyAlignment="1">
      <alignment horizontal="center" vertical="center"/>
    </xf>
    <xf numFmtId="49" fontId="20" fillId="0" borderId="0" xfId="1" applyNumberFormat="1" applyFont="1" applyAlignment="1">
      <alignment horizontal="center" vertical="center" readingOrder="1"/>
    </xf>
    <xf numFmtId="49" fontId="20" fillId="3" borderId="0" xfId="0" applyNumberFormat="1" applyFont="1" applyFill="1" applyAlignment="1">
      <alignment horizontal="center" vertical="center" readingOrder="1"/>
    </xf>
    <xf numFmtId="49" fontId="17" fillId="2" borderId="0" xfId="1" applyNumberFormat="1" applyFont="1" applyFill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 readingOrder="1"/>
    </xf>
    <xf numFmtId="0" fontId="0" fillId="3" borderId="0" xfId="0" applyFill="1" applyAlignment="1">
      <alignment vertical="center"/>
    </xf>
    <xf numFmtId="0" fontId="23" fillId="0" borderId="0" xfId="1" applyFont="1" applyAlignment="1">
      <alignment horizontal="center" vertical="center" readingOrder="1"/>
    </xf>
    <xf numFmtId="0" fontId="23" fillId="0" borderId="0" xfId="0" applyFont="1" applyAlignment="1">
      <alignment horizontal="center" vertical="center" readingOrder="1"/>
    </xf>
    <xf numFmtId="0" fontId="18" fillId="2" borderId="0" xfId="0" applyFont="1" applyFill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0" fillId="0" borderId="2" xfId="0" applyBorder="1"/>
    <xf numFmtId="49" fontId="17" fillId="0" borderId="2" xfId="1" applyNumberFormat="1" applyFont="1" applyBorder="1" applyAlignment="1">
      <alignment horizontal="center" vertical="center"/>
    </xf>
    <xf numFmtId="14" fontId="17" fillId="0" borderId="2" xfId="1" applyNumberFormat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49" fontId="17" fillId="3" borderId="0" xfId="1" applyNumberFormat="1" applyFont="1" applyFill="1" applyAlignment="1">
      <alignment horizontal="center" vertical="center"/>
    </xf>
    <xf numFmtId="0" fontId="0" fillId="3" borderId="0" xfId="0" applyFill="1"/>
    <xf numFmtId="0" fontId="17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readingOrder="1"/>
    </xf>
    <xf numFmtId="0" fontId="23" fillId="3" borderId="0" xfId="1" applyFont="1" applyFill="1" applyAlignment="1">
      <alignment horizontal="center" vertical="center" readingOrder="1"/>
    </xf>
    <xf numFmtId="0" fontId="0" fillId="2" borderId="0" xfId="0" applyFill="1"/>
    <xf numFmtId="0" fontId="25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3" borderId="0" xfId="0" applyFont="1" applyFill="1" applyAlignment="1">
      <alignment horizontal="center"/>
    </xf>
    <xf numFmtId="49" fontId="20" fillId="2" borderId="0" xfId="0" applyNumberFormat="1" applyFont="1" applyFill="1" applyAlignment="1">
      <alignment horizontal="center" vertical="center" readingOrder="1"/>
    </xf>
    <xf numFmtId="0" fontId="23" fillId="2" borderId="0" xfId="0" applyFont="1" applyFill="1" applyAlignment="1">
      <alignment horizontal="center" vertical="center" readingOrder="1"/>
    </xf>
    <xf numFmtId="0" fontId="23" fillId="0" borderId="0" xfId="0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2" borderId="0" xfId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3" borderId="0" xfId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27" fillId="0" borderId="0" xfId="1" applyNumberFormat="1" applyFont="1" applyAlignment="1">
      <alignment horizontal="center" vertical="center" wrapText="1"/>
    </xf>
    <xf numFmtId="0" fontId="22" fillId="0" borderId="0" xfId="1" applyFont="1" applyAlignment="1">
      <alignment horizontal="center" vertical="center" readingOrder="1"/>
    </xf>
    <xf numFmtId="0" fontId="0" fillId="3" borderId="0" xfId="0" applyFill="1" applyAlignment="1">
      <alignment horizontal="center" vertical="center" wrapText="1"/>
    </xf>
    <xf numFmtId="49" fontId="17" fillId="3" borderId="0" xfId="0" applyNumberFormat="1" applyFont="1" applyFill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9" fillId="3" borderId="0" xfId="1" applyFont="1" applyFill="1" applyAlignment="1">
      <alignment horizontal="center" vertical="center"/>
    </xf>
    <xf numFmtId="49" fontId="26" fillId="3" borderId="0" xfId="0" applyNumberFormat="1" applyFont="1" applyFill="1" applyAlignment="1">
      <alignment horizontal="center" vertical="center" readingOrder="1"/>
    </xf>
    <xf numFmtId="14" fontId="30" fillId="3" borderId="0" xfId="1" applyNumberFormat="1" applyFont="1" applyFill="1" applyAlignment="1">
      <alignment horizontal="center" vertical="center"/>
    </xf>
    <xf numFmtId="14" fontId="30" fillId="3" borderId="0" xfId="1" applyNumberFormat="1" applyFont="1" applyFill="1" applyAlignment="1">
      <alignment horizontal="center" vertical="center" wrapText="1"/>
    </xf>
    <xf numFmtId="0" fontId="30" fillId="3" borderId="0" xfId="1" applyFont="1" applyFill="1" applyAlignment="1">
      <alignment horizontal="center" vertical="center" wrapText="1"/>
    </xf>
    <xf numFmtId="1" fontId="30" fillId="3" borderId="0" xfId="1" applyNumberFormat="1" applyFont="1" applyFill="1" applyAlignment="1">
      <alignment horizontal="center" vertical="center"/>
    </xf>
    <xf numFmtId="0" fontId="30" fillId="3" borderId="0" xfId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 readingOrder="1"/>
    </xf>
    <xf numFmtId="14" fontId="30" fillId="0" borderId="0" xfId="1" applyNumberFormat="1" applyFont="1" applyAlignment="1">
      <alignment horizontal="center" vertical="center"/>
    </xf>
    <xf numFmtId="14" fontId="30" fillId="0" borderId="0" xfId="1" applyNumberFormat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1" fontId="30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30" fillId="0" borderId="0" xfId="1" applyNumberFormat="1" applyFont="1" applyAlignment="1">
      <alignment horizontal="center" vertical="center"/>
    </xf>
    <xf numFmtId="0" fontId="32" fillId="0" borderId="0" xfId="0" applyFont="1"/>
    <xf numFmtId="0" fontId="14" fillId="0" borderId="0" xfId="1" applyFont="1" applyAlignment="1">
      <alignment vertical="center"/>
    </xf>
    <xf numFmtId="14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4" fontId="14" fillId="0" borderId="0" xfId="1" applyNumberFormat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" fontId="14" fillId="0" borderId="0" xfId="1" applyNumberFormat="1" applyFont="1" applyAlignment="1">
      <alignment horizontal="center" vertical="center"/>
    </xf>
    <xf numFmtId="14" fontId="14" fillId="0" borderId="0" xfId="1" applyNumberFormat="1" applyFont="1" applyAlignment="1">
      <alignment horizontal="left" vertical="center" wrapText="1"/>
    </xf>
    <xf numFmtId="14" fontId="14" fillId="2" borderId="0" xfId="1" applyNumberFormat="1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164" fontId="14" fillId="2" borderId="0" xfId="1" applyNumberFormat="1" applyFont="1" applyFill="1" applyAlignment="1">
      <alignment horizontal="center" vertical="center"/>
    </xf>
    <xf numFmtId="1" fontId="14" fillId="2" borderId="0" xfId="1" applyNumberFormat="1" applyFont="1" applyFill="1" applyAlignment="1">
      <alignment horizontal="center" vertical="center"/>
    </xf>
    <xf numFmtId="14" fontId="14" fillId="2" borderId="0" xfId="1" applyNumberFormat="1" applyFont="1" applyFill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14" fontId="14" fillId="3" borderId="0" xfId="1" applyNumberFormat="1" applyFont="1" applyFill="1" applyAlignment="1">
      <alignment horizontal="center" vertical="center"/>
    </xf>
    <xf numFmtId="14" fontId="14" fillId="3" borderId="0" xfId="1" applyNumberFormat="1" applyFont="1" applyFill="1" applyAlignment="1">
      <alignment horizontal="center" vertical="center" wrapText="1"/>
    </xf>
    <xf numFmtId="0" fontId="14" fillId="3" borderId="0" xfId="1" applyFont="1" applyFill="1" applyAlignment="1">
      <alignment horizontal="center" vertical="center" wrapText="1"/>
    </xf>
    <xf numFmtId="164" fontId="14" fillId="3" borderId="0" xfId="1" applyNumberFormat="1" applyFont="1" applyFill="1" applyAlignment="1">
      <alignment horizontal="center" vertical="center"/>
    </xf>
    <xf numFmtId="1" fontId="14" fillId="3" borderId="0" xfId="1" applyNumberFormat="1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2" borderId="0" xfId="1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4" fontId="13" fillId="0" borderId="0" xfId="1" applyNumberFormat="1" applyFont="1" applyAlignment="1">
      <alignment horizontal="center" vertical="center" wrapText="1"/>
    </xf>
    <xf numFmtId="49" fontId="23" fillId="0" borderId="1" xfId="1" applyNumberFormat="1" applyFont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9" fillId="2" borderId="0" xfId="1" applyFont="1" applyFill="1" applyAlignment="1">
      <alignment horizontal="center" vertical="center"/>
    </xf>
    <xf numFmtId="49" fontId="31" fillId="2" borderId="0" xfId="1" applyNumberFormat="1" applyFont="1" applyFill="1" applyAlignment="1">
      <alignment horizontal="center" vertical="center"/>
    </xf>
    <xf numFmtId="14" fontId="30" fillId="2" borderId="0" xfId="1" applyNumberFormat="1" applyFont="1" applyFill="1" applyAlignment="1">
      <alignment horizontal="center" vertical="center"/>
    </xf>
    <xf numFmtId="0" fontId="30" fillId="2" borderId="0" xfId="1" applyFont="1" applyFill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14" fontId="8" fillId="2" borderId="0" xfId="1" applyNumberFormat="1" applyFont="1" applyFill="1" applyAlignment="1">
      <alignment horizontal="center" vertical="center"/>
    </xf>
    <xf numFmtId="14" fontId="8" fillId="0" borderId="0" xfId="1" quotePrefix="1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18" fillId="3" borderId="0" xfId="1" applyNumberFormat="1" applyFont="1" applyFill="1" applyAlignment="1">
      <alignment horizontal="center" vertical="center" readingOrder="1"/>
    </xf>
    <xf numFmtId="14" fontId="18" fillId="0" borderId="0" xfId="1" applyNumberFormat="1" applyFont="1" applyAlignment="1">
      <alignment horizontal="center" vertical="center" readingOrder="1"/>
    </xf>
    <xf numFmtId="14" fontId="8" fillId="2" borderId="0" xfId="0" applyNumberFormat="1" applyFont="1" applyFill="1" applyAlignment="1">
      <alignment horizontal="center" vertical="center"/>
    </xf>
    <xf numFmtId="14" fontId="8" fillId="3" borderId="0" xfId="1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4" fontId="8" fillId="0" borderId="0" xfId="1" applyNumberFormat="1" applyFont="1" applyAlignment="1">
      <alignment horizontal="center" vertical="center" wrapText="1"/>
    </xf>
    <xf numFmtId="14" fontId="8" fillId="2" borderId="0" xfId="1" applyNumberFormat="1" applyFont="1" applyFill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/>
    </xf>
    <xf numFmtId="14" fontId="6" fillId="3" borderId="0" xfId="1" applyNumberFormat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/>
    </xf>
    <xf numFmtId="14" fontId="6" fillId="3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1" applyNumberFormat="1" applyFont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4" fontId="30" fillId="2" borderId="0" xfId="0" applyNumberFormat="1" applyFont="1" applyFill="1" applyAlignment="1">
      <alignment horizontal="center" vertical="center" wrapText="1"/>
    </xf>
    <xf numFmtId="49" fontId="17" fillId="2" borderId="0" xfId="0" applyNumberFormat="1" applyFont="1" applyFill="1" applyAlignment="1">
      <alignment horizontal="center" vertical="center"/>
    </xf>
    <xf numFmtId="14" fontId="7" fillId="2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4" fontId="2" fillId="2" borderId="0" xfId="1" applyNumberFormat="1" applyFont="1" applyFill="1" applyAlignment="1">
      <alignment horizontal="center" vertical="center" wrapText="1"/>
    </xf>
    <xf numFmtId="14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14" fontId="1" fillId="2" borderId="0" xfId="1" applyNumberFormat="1" applyFont="1" applyFill="1" applyAlignment="1">
      <alignment horizontal="center" vertical="center" wrapText="1"/>
    </xf>
    <xf numFmtId="14" fontId="1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68DC8BE3-3760-4BB3-A138-BA2F15810000}"/>
  </cellStyles>
  <dxfs count="9"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3" sqref="C3:C17"/>
    </sheetView>
  </sheetViews>
  <sheetFormatPr defaultRowHeight="15" x14ac:dyDescent="0.25"/>
  <cols>
    <col min="2" max="2" width="22.7109375" bestFit="1" customWidth="1"/>
    <col min="3" max="3" width="62.42578125" customWidth="1"/>
    <col min="6" max="6" width="11.7109375" customWidth="1"/>
  </cols>
  <sheetData>
    <row r="2" spans="2:6" ht="18.75" x14ac:dyDescent="0.3">
      <c r="B2" s="37" t="s">
        <v>0</v>
      </c>
      <c r="C2" s="37" t="s">
        <v>1</v>
      </c>
      <c r="E2" t="s">
        <v>2</v>
      </c>
    </row>
    <row r="3" spans="2:6" x14ac:dyDescent="0.25">
      <c r="B3" s="31" t="s">
        <v>3</v>
      </c>
      <c r="C3" s="32" t="s">
        <v>4</v>
      </c>
      <c r="E3" s="43"/>
      <c r="F3" t="s">
        <v>5</v>
      </c>
    </row>
    <row r="4" spans="2:6" x14ac:dyDescent="0.25">
      <c r="B4" s="31" t="s">
        <v>6</v>
      </c>
      <c r="C4" s="32" t="s">
        <v>7</v>
      </c>
      <c r="E4" s="39"/>
      <c r="F4" t="s">
        <v>8</v>
      </c>
    </row>
    <row r="5" spans="2:6" x14ac:dyDescent="0.25">
      <c r="B5" s="33" t="s">
        <v>9</v>
      </c>
      <c r="C5" s="32" t="s">
        <v>10</v>
      </c>
    </row>
    <row r="6" spans="2:6" x14ac:dyDescent="0.25">
      <c r="B6" s="31" t="s">
        <v>11</v>
      </c>
      <c r="C6" s="32" t="s">
        <v>12</v>
      </c>
    </row>
    <row r="7" spans="2:6" x14ac:dyDescent="0.25">
      <c r="B7" s="34" t="s">
        <v>13</v>
      </c>
      <c r="C7" s="32" t="s">
        <v>14</v>
      </c>
    </row>
    <row r="8" spans="2:6" x14ac:dyDescent="0.25">
      <c r="B8" s="31" t="s">
        <v>15</v>
      </c>
      <c r="C8" s="32" t="s">
        <v>15</v>
      </c>
    </row>
    <row r="9" spans="2:6" x14ac:dyDescent="0.25">
      <c r="B9" s="35" t="s">
        <v>16</v>
      </c>
      <c r="C9" s="32" t="s">
        <v>17</v>
      </c>
    </row>
    <row r="10" spans="2:6" x14ac:dyDescent="0.25">
      <c r="B10" s="35" t="s">
        <v>18</v>
      </c>
      <c r="C10" s="32" t="s">
        <v>19</v>
      </c>
    </row>
    <row r="11" spans="2:6" x14ac:dyDescent="0.25">
      <c r="B11" s="31" t="s">
        <v>20</v>
      </c>
      <c r="C11" s="32" t="s">
        <v>21</v>
      </c>
    </row>
    <row r="12" spans="2:6" x14ac:dyDescent="0.25">
      <c r="B12" s="31" t="s">
        <v>22</v>
      </c>
      <c r="C12" s="32" t="s">
        <v>23</v>
      </c>
    </row>
    <row r="13" spans="2:6" x14ac:dyDescent="0.25">
      <c r="B13" s="31" t="s">
        <v>24</v>
      </c>
      <c r="C13" s="32" t="s">
        <v>25</v>
      </c>
    </row>
    <row r="14" spans="2:6" x14ac:dyDescent="0.25">
      <c r="B14" s="31" t="s">
        <v>26</v>
      </c>
      <c r="C14" s="32" t="s">
        <v>27</v>
      </c>
    </row>
    <row r="15" spans="2:6" x14ac:dyDescent="0.25">
      <c r="B15" s="31" t="s">
        <v>28</v>
      </c>
      <c r="C15" s="32" t="s">
        <v>29</v>
      </c>
    </row>
    <row r="16" spans="2:6" x14ac:dyDescent="0.25">
      <c r="B16" s="36" t="s">
        <v>30</v>
      </c>
      <c r="C16" s="32" t="s">
        <v>31</v>
      </c>
    </row>
    <row r="17" spans="2:3" x14ac:dyDescent="0.25">
      <c r="B17" s="31" t="s">
        <v>32</v>
      </c>
      <c r="C17" s="32" t="s">
        <v>33</v>
      </c>
    </row>
  </sheetData>
  <conditionalFormatting sqref="B6:B7">
    <cfRule type="cellIs" dxfId="8" priority="2" operator="equal">
      <formula>"Excluded"</formula>
    </cfRule>
  </conditionalFormatting>
  <conditionalFormatting sqref="B13:B15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58"/>
  <sheetViews>
    <sheetView tabSelected="1" topLeftCell="A171" zoomScale="85" zoomScaleNormal="85" workbookViewId="0">
      <selection activeCell="E171" sqref="E171"/>
    </sheetView>
  </sheetViews>
  <sheetFormatPr defaultColWidth="11" defaultRowHeight="15" x14ac:dyDescent="0.25"/>
  <cols>
    <col min="1" max="1" width="9.42578125" style="1" bestFit="1" customWidth="1"/>
    <col min="2" max="2" width="24.85546875" style="56" bestFit="1" customWidth="1"/>
    <col min="3" max="3" width="8.28515625" style="23" bestFit="1" customWidth="1"/>
    <col min="4" max="4" width="15.42578125" style="134" bestFit="1" customWidth="1"/>
    <col min="5" max="5" width="51.85546875" style="1" customWidth="1"/>
    <col min="6" max="6" width="45.5703125" style="3" customWidth="1"/>
    <col min="7" max="7" width="80.140625" style="2" customWidth="1"/>
    <col min="8" max="8" width="10" style="2" bestFit="1" customWidth="1"/>
    <col min="9" max="9" width="15.28515625" style="2" bestFit="1" customWidth="1"/>
    <col min="10" max="10" width="19.5703125" style="2" customWidth="1"/>
    <col min="11" max="11" width="47.85546875" style="1" customWidth="1"/>
    <col min="12" max="12" width="39.28515625" style="1" bestFit="1" customWidth="1"/>
    <col min="13" max="13" width="32.28515625" style="1" customWidth="1"/>
    <col min="14" max="14" width="35" style="1" customWidth="1"/>
    <col min="15" max="15" width="28.85546875" style="1" bestFit="1" customWidth="1"/>
    <col min="16" max="16" width="24.28515625" customWidth="1"/>
    <col min="17" max="17" width="170.85546875" bestFit="1" customWidth="1"/>
  </cols>
  <sheetData>
    <row r="1" spans="1:15" s="113" customFormat="1" ht="15.75" x14ac:dyDescent="0.25">
      <c r="A1" s="30" t="s">
        <v>3</v>
      </c>
      <c r="B1" s="110" t="s">
        <v>6</v>
      </c>
      <c r="C1" s="30" t="s">
        <v>9</v>
      </c>
      <c r="D1" s="30" t="s">
        <v>11</v>
      </c>
      <c r="E1" s="30" t="s">
        <v>13</v>
      </c>
      <c r="F1" s="30" t="s">
        <v>15</v>
      </c>
      <c r="G1" s="111" t="s">
        <v>16</v>
      </c>
      <c r="H1" s="111" t="s">
        <v>18</v>
      </c>
      <c r="I1" s="30" t="s">
        <v>20</v>
      </c>
      <c r="J1" s="30" t="s">
        <v>22</v>
      </c>
      <c r="K1" s="30" t="s">
        <v>24</v>
      </c>
      <c r="L1" s="30" t="s">
        <v>26</v>
      </c>
      <c r="M1" s="30" t="s">
        <v>28</v>
      </c>
      <c r="N1" s="112" t="s">
        <v>30</v>
      </c>
      <c r="O1" s="30" t="s">
        <v>32</v>
      </c>
    </row>
    <row r="2" spans="1:15" ht="15.75" x14ac:dyDescent="0.25">
      <c r="A2" s="80">
        <v>1</v>
      </c>
      <c r="B2" s="50" t="s">
        <v>34</v>
      </c>
      <c r="C2" s="18" t="s">
        <v>35</v>
      </c>
      <c r="D2" s="126">
        <v>45568</v>
      </c>
      <c r="E2" s="82" t="s">
        <v>36</v>
      </c>
      <c r="F2" s="6" t="s">
        <v>37</v>
      </c>
      <c r="G2" s="83" t="s">
        <v>38</v>
      </c>
      <c r="H2" s="84"/>
      <c r="I2" s="85"/>
      <c r="J2" s="85"/>
      <c r="K2" s="86"/>
      <c r="L2" s="82" t="s">
        <v>39</v>
      </c>
      <c r="M2" s="82"/>
      <c r="N2" s="83"/>
      <c r="O2" s="4" t="s">
        <v>40</v>
      </c>
    </row>
    <row r="3" spans="1:15" ht="129" x14ac:dyDescent="0.25">
      <c r="A3" s="80">
        <f>A2+1</f>
        <v>2</v>
      </c>
      <c r="B3" s="50" t="s">
        <v>34</v>
      </c>
      <c r="C3" s="18" t="s">
        <v>41</v>
      </c>
      <c r="D3" s="128">
        <v>45582</v>
      </c>
      <c r="E3" s="82" t="s">
        <v>36</v>
      </c>
      <c r="F3" s="81" t="s">
        <v>42</v>
      </c>
      <c r="G3" s="83" t="s">
        <v>43</v>
      </c>
      <c r="H3" s="84"/>
      <c r="I3" s="85">
        <v>45582.375</v>
      </c>
      <c r="J3" s="85">
        <v>45582.591666666667</v>
      </c>
      <c r="K3" s="86"/>
      <c r="L3" s="82" t="s">
        <v>39</v>
      </c>
      <c r="M3" s="82"/>
      <c r="N3" s="87" t="s">
        <v>44</v>
      </c>
      <c r="O3" s="4" t="s">
        <v>40</v>
      </c>
    </row>
    <row r="4" spans="1:15" ht="28.5" x14ac:dyDescent="0.25">
      <c r="A4" s="80">
        <f>A3+1</f>
        <v>3</v>
      </c>
      <c r="B4" s="50" t="s">
        <v>34</v>
      </c>
      <c r="C4" s="18" t="s">
        <v>45</v>
      </c>
      <c r="D4" s="126">
        <v>45590</v>
      </c>
      <c r="E4" s="82" t="s">
        <v>46</v>
      </c>
      <c r="F4" s="81"/>
      <c r="G4" s="135" t="s">
        <v>47</v>
      </c>
      <c r="H4" s="84"/>
      <c r="I4" s="85"/>
      <c r="J4" s="85"/>
      <c r="K4" s="86"/>
      <c r="L4" s="82" t="s">
        <v>39</v>
      </c>
      <c r="M4" s="82"/>
      <c r="N4" s="83"/>
      <c r="O4" s="4" t="s">
        <v>40</v>
      </c>
    </row>
    <row r="5" spans="1:15" ht="28.5" x14ac:dyDescent="0.25">
      <c r="A5" s="80">
        <f t="shared" ref="A5:A68" si="0">A4+1</f>
        <v>4</v>
      </c>
      <c r="B5" s="53" t="s">
        <v>34</v>
      </c>
      <c r="C5" s="21" t="s">
        <v>67</v>
      </c>
      <c r="D5" s="127">
        <v>45643</v>
      </c>
      <c r="E5" s="89" t="s">
        <v>46</v>
      </c>
      <c r="F5" s="88"/>
      <c r="G5" s="136" t="s">
        <v>328</v>
      </c>
      <c r="H5" s="104"/>
      <c r="I5" s="91"/>
      <c r="J5" s="91"/>
      <c r="K5" s="92"/>
      <c r="L5" s="89" t="s">
        <v>39</v>
      </c>
      <c r="M5" s="89"/>
      <c r="N5" s="93"/>
      <c r="O5" s="8" t="s">
        <v>40</v>
      </c>
    </row>
    <row r="6" spans="1:15" ht="15.75" x14ac:dyDescent="0.25">
      <c r="A6" s="80">
        <f t="shared" si="0"/>
        <v>5</v>
      </c>
      <c r="B6" s="51" t="s">
        <v>48</v>
      </c>
      <c r="C6" s="18" t="s">
        <v>35</v>
      </c>
      <c r="D6" s="126">
        <v>45569</v>
      </c>
      <c r="E6" s="82" t="s">
        <v>36</v>
      </c>
      <c r="F6" s="81" t="s">
        <v>62</v>
      </c>
      <c r="G6" s="83" t="s">
        <v>63</v>
      </c>
      <c r="H6" s="84"/>
      <c r="I6" s="85"/>
      <c r="J6" s="85"/>
      <c r="K6" s="86"/>
      <c r="L6" s="82" t="s">
        <v>49</v>
      </c>
      <c r="M6" s="82"/>
      <c r="N6" s="83"/>
      <c r="O6" s="4" t="s">
        <v>50</v>
      </c>
    </row>
    <row r="7" spans="1:15" ht="15.75" x14ac:dyDescent="0.25">
      <c r="A7" s="80">
        <f t="shared" si="0"/>
        <v>6</v>
      </c>
      <c r="B7" s="51" t="s">
        <v>48</v>
      </c>
      <c r="C7" s="18" t="s">
        <v>41</v>
      </c>
      <c r="D7" s="126" t="s">
        <v>64</v>
      </c>
      <c r="E7" s="82" t="s">
        <v>36</v>
      </c>
      <c r="F7" s="81" t="s">
        <v>65</v>
      </c>
      <c r="G7" s="83" t="s">
        <v>66</v>
      </c>
      <c r="H7" s="84"/>
      <c r="I7" s="85"/>
      <c r="J7" s="85"/>
      <c r="K7" s="86"/>
      <c r="L7" s="142" t="s">
        <v>49</v>
      </c>
      <c r="M7" s="82"/>
      <c r="N7" s="83"/>
      <c r="O7" s="4" t="s">
        <v>50</v>
      </c>
    </row>
    <row r="8" spans="1:15" ht="15.75" x14ac:dyDescent="0.25">
      <c r="A8" s="80">
        <f t="shared" si="0"/>
        <v>7</v>
      </c>
      <c r="B8" s="51" t="s">
        <v>48</v>
      </c>
      <c r="C8" s="18" t="s">
        <v>45</v>
      </c>
      <c r="D8" s="126">
        <v>45581</v>
      </c>
      <c r="E8" s="82" t="s">
        <v>36</v>
      </c>
      <c r="F8" s="81" t="s">
        <v>62</v>
      </c>
      <c r="G8" s="94" t="s">
        <v>63</v>
      </c>
      <c r="H8" s="95"/>
      <c r="I8" s="85"/>
      <c r="J8" s="85"/>
      <c r="K8" s="86"/>
      <c r="L8" s="82" t="s">
        <v>49</v>
      </c>
      <c r="M8" s="82"/>
      <c r="N8" s="83"/>
      <c r="O8" s="4" t="s">
        <v>50</v>
      </c>
    </row>
    <row r="9" spans="1:15" ht="15.75" x14ac:dyDescent="0.25">
      <c r="A9" s="80">
        <f t="shared" si="0"/>
        <v>8</v>
      </c>
      <c r="B9" s="51" t="s">
        <v>48</v>
      </c>
      <c r="C9" s="18" t="s">
        <v>67</v>
      </c>
      <c r="D9" s="9">
        <v>45581</v>
      </c>
      <c r="E9" s="82" t="s">
        <v>36</v>
      </c>
      <c r="F9" s="96" t="s">
        <v>68</v>
      </c>
      <c r="G9" s="94" t="s">
        <v>69</v>
      </c>
      <c r="H9" s="95"/>
      <c r="I9" s="85"/>
      <c r="J9" s="85"/>
      <c r="K9" s="86"/>
      <c r="L9" s="82" t="s">
        <v>49</v>
      </c>
      <c r="M9" s="82"/>
      <c r="N9" s="83"/>
      <c r="O9" s="4" t="s">
        <v>50</v>
      </c>
    </row>
    <row r="10" spans="1:15" ht="15.75" x14ac:dyDescent="0.25">
      <c r="A10" s="80">
        <f t="shared" si="0"/>
        <v>9</v>
      </c>
      <c r="B10" s="51" t="s">
        <v>48</v>
      </c>
      <c r="C10" s="18" t="s">
        <v>70</v>
      </c>
      <c r="D10" s="126" t="s">
        <v>64</v>
      </c>
      <c r="E10" s="82" t="s">
        <v>36</v>
      </c>
      <c r="F10" s="81" t="s">
        <v>65</v>
      </c>
      <c r="G10" s="83" t="s">
        <v>71</v>
      </c>
      <c r="H10" s="84"/>
      <c r="I10" s="85"/>
      <c r="J10" s="85"/>
      <c r="K10" s="86"/>
      <c r="L10" s="82" t="s">
        <v>49</v>
      </c>
      <c r="M10" s="82"/>
      <c r="N10" s="83"/>
      <c r="O10" s="4" t="s">
        <v>50</v>
      </c>
    </row>
    <row r="11" spans="1:15" ht="28.5" x14ac:dyDescent="0.25">
      <c r="A11" s="80">
        <f t="shared" si="0"/>
        <v>10</v>
      </c>
      <c r="B11" s="51" t="s">
        <v>48</v>
      </c>
      <c r="C11" s="18" t="s">
        <v>72</v>
      </c>
      <c r="D11" s="126">
        <v>45594</v>
      </c>
      <c r="E11" s="82" t="s">
        <v>36</v>
      </c>
      <c r="F11" s="81" t="s">
        <v>65</v>
      </c>
      <c r="G11" s="94" t="s">
        <v>73</v>
      </c>
      <c r="H11" s="95"/>
      <c r="I11" s="85"/>
      <c r="J11" s="85"/>
      <c r="K11" s="86"/>
      <c r="L11" s="82" t="s">
        <v>49</v>
      </c>
      <c r="M11" s="82"/>
      <c r="N11" s="83"/>
      <c r="O11" s="4" t="s">
        <v>50</v>
      </c>
    </row>
    <row r="12" spans="1:15" ht="142.5" x14ac:dyDescent="0.25">
      <c r="A12" s="80">
        <f t="shared" si="0"/>
        <v>11</v>
      </c>
      <c r="B12" s="51" t="s">
        <v>48</v>
      </c>
      <c r="C12" s="18" t="s">
        <v>74</v>
      </c>
      <c r="D12" s="126">
        <v>45596</v>
      </c>
      <c r="E12" s="82" t="s">
        <v>36</v>
      </c>
      <c r="F12" s="96" t="s">
        <v>68</v>
      </c>
      <c r="G12" s="7" t="s">
        <v>75</v>
      </c>
      <c r="H12" s="7"/>
      <c r="I12" s="85"/>
      <c r="J12" s="85"/>
      <c r="K12" s="86"/>
      <c r="L12" s="82" t="s">
        <v>49</v>
      </c>
      <c r="M12" s="82"/>
      <c r="N12" s="83" t="s">
        <v>76</v>
      </c>
      <c r="O12" s="4" t="s">
        <v>50</v>
      </c>
    </row>
    <row r="13" spans="1:15" ht="142.5" x14ac:dyDescent="0.25">
      <c r="A13" s="80">
        <f t="shared" si="0"/>
        <v>12</v>
      </c>
      <c r="B13" s="51" t="s">
        <v>48</v>
      </c>
      <c r="C13" s="22" t="s">
        <v>77</v>
      </c>
      <c r="D13" s="9">
        <v>45595</v>
      </c>
      <c r="E13" s="6" t="s">
        <v>36</v>
      </c>
      <c r="F13" s="96" t="s">
        <v>68</v>
      </c>
      <c r="G13" s="7" t="s">
        <v>78</v>
      </c>
      <c r="H13" s="7"/>
      <c r="I13" s="85"/>
      <c r="J13" s="85"/>
      <c r="K13" s="86"/>
      <c r="L13" s="82" t="s">
        <v>49</v>
      </c>
      <c r="M13" s="82"/>
      <c r="N13" s="83" t="s">
        <v>76</v>
      </c>
      <c r="O13" s="10" t="s">
        <v>50</v>
      </c>
    </row>
    <row r="14" spans="1:15" ht="15.75" x14ac:dyDescent="0.25">
      <c r="A14" s="80">
        <f t="shared" si="0"/>
        <v>13</v>
      </c>
      <c r="B14" s="51" t="s">
        <v>48</v>
      </c>
      <c r="C14" s="18">
        <v>11</v>
      </c>
      <c r="D14" s="126">
        <v>45602</v>
      </c>
      <c r="E14" s="82" t="s">
        <v>46</v>
      </c>
      <c r="F14" s="11"/>
      <c r="G14" s="83"/>
      <c r="H14" s="84"/>
      <c r="I14" s="85"/>
      <c r="J14" s="85"/>
      <c r="K14" s="86"/>
      <c r="L14" s="82" t="s">
        <v>49</v>
      </c>
      <c r="M14" s="82"/>
      <c r="N14" s="83"/>
      <c r="O14" s="4" t="s">
        <v>50</v>
      </c>
    </row>
    <row r="15" spans="1:15" ht="99.75" x14ac:dyDescent="0.25">
      <c r="A15" s="80">
        <f t="shared" si="0"/>
        <v>14</v>
      </c>
      <c r="B15" s="51" t="s">
        <v>48</v>
      </c>
      <c r="C15" s="18">
        <v>12</v>
      </c>
      <c r="D15" s="126">
        <v>45602</v>
      </c>
      <c r="E15" s="82" t="s">
        <v>46</v>
      </c>
      <c r="F15" s="81"/>
      <c r="G15" s="72" t="s">
        <v>351</v>
      </c>
      <c r="H15" s="84"/>
      <c r="I15" s="85"/>
      <c r="J15" s="85"/>
      <c r="K15" s="86"/>
      <c r="L15" s="82" t="s">
        <v>49</v>
      </c>
      <c r="M15" s="82"/>
      <c r="N15" s="83" t="s">
        <v>51</v>
      </c>
      <c r="O15" s="4" t="s">
        <v>50</v>
      </c>
    </row>
    <row r="16" spans="1:15" ht="15.75" x14ac:dyDescent="0.25">
      <c r="A16" s="80">
        <f t="shared" si="0"/>
        <v>15</v>
      </c>
      <c r="B16" s="51" t="s">
        <v>48</v>
      </c>
      <c r="C16" s="18">
        <v>13</v>
      </c>
      <c r="D16" s="126">
        <v>45603</v>
      </c>
      <c r="E16" s="82" t="s">
        <v>46</v>
      </c>
      <c r="F16" s="81"/>
      <c r="G16" s="160" t="s">
        <v>362</v>
      </c>
      <c r="H16" s="84"/>
      <c r="I16" s="85"/>
      <c r="J16" s="85"/>
      <c r="K16" s="86"/>
      <c r="L16" s="82" t="s">
        <v>49</v>
      </c>
      <c r="M16" s="82"/>
      <c r="N16" s="83"/>
      <c r="O16" s="4" t="s">
        <v>50</v>
      </c>
    </row>
    <row r="17" spans="1:15" ht="85.5" x14ac:dyDescent="0.25">
      <c r="A17" s="80">
        <f t="shared" si="0"/>
        <v>16</v>
      </c>
      <c r="B17" s="51" t="s">
        <v>48</v>
      </c>
      <c r="C17" s="19">
        <v>14</v>
      </c>
      <c r="D17" s="126">
        <v>45603</v>
      </c>
      <c r="E17" s="82" t="s">
        <v>46</v>
      </c>
      <c r="F17" s="81" t="s">
        <v>42</v>
      </c>
      <c r="G17" s="83" t="s">
        <v>52</v>
      </c>
      <c r="H17" s="84"/>
      <c r="I17" s="85">
        <v>45602.361805555556</v>
      </c>
      <c r="J17" s="85">
        <v>45602.552777777775</v>
      </c>
      <c r="K17" s="86"/>
      <c r="L17" s="82" t="s">
        <v>49</v>
      </c>
      <c r="M17" s="82"/>
      <c r="N17" s="83" t="s">
        <v>53</v>
      </c>
      <c r="O17" s="4" t="s">
        <v>50</v>
      </c>
    </row>
    <row r="18" spans="1:15" ht="99.75" x14ac:dyDescent="0.25">
      <c r="A18" s="80">
        <f t="shared" si="0"/>
        <v>17</v>
      </c>
      <c r="B18" s="51" t="s">
        <v>48</v>
      </c>
      <c r="C18" s="21">
        <v>15</v>
      </c>
      <c r="D18" s="127">
        <v>45608</v>
      </c>
      <c r="E18" s="89" t="s">
        <v>36</v>
      </c>
      <c r="F18" s="88" t="s">
        <v>54</v>
      </c>
      <c r="G18" s="149"/>
      <c r="H18" s="90"/>
      <c r="I18" s="91"/>
      <c r="J18" s="91"/>
      <c r="K18" s="92"/>
      <c r="L18" s="89" t="s">
        <v>49</v>
      </c>
      <c r="M18" s="89"/>
      <c r="N18" s="93" t="s">
        <v>55</v>
      </c>
      <c r="O18" s="8" t="s">
        <v>50</v>
      </c>
    </row>
    <row r="19" spans="1:15" ht="15.75" x14ac:dyDescent="0.25">
      <c r="A19" s="80">
        <f t="shared" si="0"/>
        <v>18</v>
      </c>
      <c r="B19" s="51" t="s">
        <v>48</v>
      </c>
      <c r="C19" s="18">
        <v>16</v>
      </c>
      <c r="D19" s="126">
        <v>45608</v>
      </c>
      <c r="E19" s="82" t="s">
        <v>46</v>
      </c>
      <c r="F19" s="81"/>
      <c r="G19" s="83"/>
      <c r="H19" s="84"/>
      <c r="I19" s="85"/>
      <c r="J19" s="85"/>
      <c r="K19" s="86"/>
      <c r="L19" s="82" t="s">
        <v>49</v>
      </c>
      <c r="M19" s="82"/>
      <c r="N19" s="83"/>
      <c r="O19" s="4" t="s">
        <v>50</v>
      </c>
    </row>
    <row r="20" spans="1:15" ht="15.75" x14ac:dyDescent="0.25">
      <c r="A20" s="80">
        <f t="shared" si="0"/>
        <v>19</v>
      </c>
      <c r="B20" s="51" t="s">
        <v>48</v>
      </c>
      <c r="C20" s="18">
        <v>17</v>
      </c>
      <c r="D20" s="126">
        <v>45615</v>
      </c>
      <c r="E20" s="82" t="s">
        <v>36</v>
      </c>
      <c r="F20" s="81" t="s">
        <v>56</v>
      </c>
      <c r="G20" s="148" t="s">
        <v>57</v>
      </c>
      <c r="H20" s="12"/>
      <c r="I20" s="85"/>
      <c r="J20" s="85"/>
      <c r="K20" s="86"/>
      <c r="L20" s="82" t="s">
        <v>49</v>
      </c>
      <c r="M20" s="82"/>
      <c r="N20" s="83"/>
      <c r="O20" s="4" t="s">
        <v>50</v>
      </c>
    </row>
    <row r="21" spans="1:15" ht="15.75" x14ac:dyDescent="0.25">
      <c r="A21" s="80">
        <f t="shared" si="0"/>
        <v>20</v>
      </c>
      <c r="B21" s="51" t="s">
        <v>48</v>
      </c>
      <c r="C21" s="18">
        <v>18</v>
      </c>
      <c r="D21" s="126">
        <v>45615</v>
      </c>
      <c r="E21" s="82" t="s">
        <v>36</v>
      </c>
      <c r="F21" s="81" t="s">
        <v>56</v>
      </c>
      <c r="G21" s="94"/>
      <c r="H21" s="95"/>
      <c r="I21" s="85"/>
      <c r="J21" s="85"/>
      <c r="K21" s="86"/>
      <c r="L21" s="82" t="s">
        <v>49</v>
      </c>
      <c r="M21" s="82"/>
      <c r="N21" s="83"/>
      <c r="O21" s="4" t="s">
        <v>50</v>
      </c>
    </row>
    <row r="22" spans="1:15" ht="15.75" x14ac:dyDescent="0.25">
      <c r="A22" s="80">
        <f t="shared" si="0"/>
        <v>21</v>
      </c>
      <c r="B22" s="51" t="s">
        <v>48</v>
      </c>
      <c r="C22" s="18">
        <v>19</v>
      </c>
      <c r="D22" s="126">
        <v>45617</v>
      </c>
      <c r="E22" s="82" t="s">
        <v>46</v>
      </c>
      <c r="F22" s="81"/>
      <c r="G22" s="83" t="s">
        <v>58</v>
      </c>
      <c r="H22" s="84"/>
      <c r="I22" s="85"/>
      <c r="J22" s="85"/>
      <c r="K22" s="86"/>
      <c r="L22" s="82" t="s">
        <v>49</v>
      </c>
      <c r="M22" s="82"/>
      <c r="N22" s="83"/>
      <c r="O22" s="4" t="s">
        <v>50</v>
      </c>
    </row>
    <row r="23" spans="1:15" ht="15.75" x14ac:dyDescent="0.25">
      <c r="A23" s="80">
        <f t="shared" si="0"/>
        <v>22</v>
      </c>
      <c r="B23" s="51" t="s">
        <v>48</v>
      </c>
      <c r="C23" s="18">
        <v>20</v>
      </c>
      <c r="D23" s="126">
        <v>45617</v>
      </c>
      <c r="E23" s="82" t="s">
        <v>46</v>
      </c>
      <c r="F23" s="81"/>
      <c r="G23" s="109" t="s">
        <v>352</v>
      </c>
      <c r="H23" s="84"/>
      <c r="I23" s="85"/>
      <c r="J23" s="85"/>
      <c r="K23" s="86"/>
      <c r="L23" s="82" t="s">
        <v>49</v>
      </c>
      <c r="M23" s="82"/>
      <c r="N23" s="83"/>
      <c r="O23" s="4" t="s">
        <v>50</v>
      </c>
    </row>
    <row r="24" spans="1:15" ht="15.75" x14ac:dyDescent="0.25">
      <c r="A24" s="80">
        <f t="shared" si="0"/>
        <v>23</v>
      </c>
      <c r="B24" s="51" t="s">
        <v>48</v>
      </c>
      <c r="C24" s="19">
        <v>21</v>
      </c>
      <c r="D24" s="128">
        <v>45636</v>
      </c>
      <c r="E24" s="82" t="s">
        <v>36</v>
      </c>
      <c r="F24" s="81" t="s">
        <v>59</v>
      </c>
      <c r="G24" s="83" t="s">
        <v>60</v>
      </c>
      <c r="H24" s="84"/>
      <c r="I24" s="85"/>
      <c r="J24" s="85"/>
      <c r="K24" s="86"/>
      <c r="L24" s="82" t="s">
        <v>49</v>
      </c>
      <c r="M24" s="82"/>
      <c r="N24" s="83"/>
      <c r="O24" s="4" t="s">
        <v>50</v>
      </c>
    </row>
    <row r="25" spans="1:15" ht="15.75" x14ac:dyDescent="0.25">
      <c r="A25" s="80">
        <f t="shared" si="0"/>
        <v>24</v>
      </c>
      <c r="B25" s="51" t="s">
        <v>48</v>
      </c>
      <c r="C25" s="18">
        <v>22</v>
      </c>
      <c r="D25" s="126">
        <v>45638</v>
      </c>
      <c r="E25" s="82" t="s">
        <v>46</v>
      </c>
      <c r="F25" s="81"/>
      <c r="G25" s="83" t="s">
        <v>61</v>
      </c>
      <c r="H25" s="84"/>
      <c r="I25" s="85"/>
      <c r="J25" s="85"/>
      <c r="K25" s="86"/>
      <c r="L25" s="82" t="s">
        <v>49</v>
      </c>
      <c r="M25" s="82"/>
      <c r="N25" s="83"/>
      <c r="O25" s="4" t="s">
        <v>50</v>
      </c>
    </row>
    <row r="26" spans="1:15" ht="28.5" x14ac:dyDescent="0.25">
      <c r="A26" s="80">
        <f t="shared" si="0"/>
        <v>25</v>
      </c>
      <c r="B26" s="42" t="s">
        <v>79</v>
      </c>
      <c r="C26" s="20" t="s">
        <v>35</v>
      </c>
      <c r="D26" s="130">
        <v>45728</v>
      </c>
      <c r="E26" s="97" t="s">
        <v>36</v>
      </c>
      <c r="F26" s="98" t="s">
        <v>80</v>
      </c>
      <c r="G26" s="99" t="s">
        <v>81</v>
      </c>
      <c r="H26" s="100">
        <v>1</v>
      </c>
      <c r="I26" s="98"/>
      <c r="J26" s="101">
        <v>45729.220833333333</v>
      </c>
      <c r="K26" s="102"/>
      <c r="L26" s="98" t="s">
        <v>82</v>
      </c>
      <c r="M26" s="97"/>
      <c r="N26" s="99"/>
      <c r="O26" s="24" t="s">
        <v>83</v>
      </c>
    </row>
    <row r="27" spans="1:15" ht="28.5" x14ac:dyDescent="0.25">
      <c r="A27" s="80">
        <f t="shared" si="0"/>
        <v>26</v>
      </c>
      <c r="B27" s="42" t="s">
        <v>79</v>
      </c>
      <c r="C27" s="20" t="s">
        <v>41</v>
      </c>
      <c r="D27" s="130">
        <v>45728</v>
      </c>
      <c r="E27" s="97" t="s">
        <v>36</v>
      </c>
      <c r="F27" s="98" t="s">
        <v>80</v>
      </c>
      <c r="G27" s="99" t="s">
        <v>84</v>
      </c>
      <c r="H27" s="100">
        <v>1</v>
      </c>
      <c r="I27" s="98"/>
      <c r="J27" s="101">
        <v>45736.540972222225</v>
      </c>
      <c r="K27" s="102"/>
      <c r="L27" s="98" t="s">
        <v>82</v>
      </c>
      <c r="M27" s="97"/>
      <c r="N27" s="99"/>
      <c r="O27" s="24" t="s">
        <v>83</v>
      </c>
    </row>
    <row r="28" spans="1:15" ht="28.5" x14ac:dyDescent="0.25">
      <c r="A28" s="80">
        <f t="shared" si="0"/>
        <v>27</v>
      </c>
      <c r="B28" s="42" t="s">
        <v>79</v>
      </c>
      <c r="C28" s="20" t="s">
        <v>45</v>
      </c>
      <c r="D28" s="130">
        <v>45742</v>
      </c>
      <c r="E28" s="97" t="s">
        <v>46</v>
      </c>
      <c r="F28" s="98"/>
      <c r="G28" s="99" t="s">
        <v>85</v>
      </c>
      <c r="H28" s="100">
        <v>1</v>
      </c>
      <c r="I28" s="98"/>
      <c r="J28" s="101">
        <v>45743.414583333331</v>
      </c>
      <c r="K28" s="102"/>
      <c r="L28" s="98" t="s">
        <v>82</v>
      </c>
      <c r="M28" s="97"/>
      <c r="N28" s="99"/>
      <c r="O28" s="24" t="s">
        <v>83</v>
      </c>
    </row>
    <row r="29" spans="1:15" ht="15.75" x14ac:dyDescent="0.25">
      <c r="A29" s="80">
        <f t="shared" si="0"/>
        <v>28</v>
      </c>
      <c r="B29" s="42" t="s">
        <v>79</v>
      </c>
      <c r="C29" s="20" t="s">
        <v>67</v>
      </c>
      <c r="D29" s="130">
        <v>45743</v>
      </c>
      <c r="E29" s="97" t="s">
        <v>46</v>
      </c>
      <c r="F29" s="98"/>
      <c r="G29" s="99" t="s">
        <v>86</v>
      </c>
      <c r="H29" s="100">
        <v>1</v>
      </c>
      <c r="I29" s="98"/>
      <c r="J29" s="101">
        <v>45743.713194444441</v>
      </c>
      <c r="K29" s="102"/>
      <c r="L29" s="98" t="s">
        <v>82</v>
      </c>
      <c r="M29" s="97"/>
      <c r="N29" s="99"/>
      <c r="O29" s="24" t="s">
        <v>83</v>
      </c>
    </row>
    <row r="30" spans="1:15" ht="15.75" x14ac:dyDescent="0.25">
      <c r="A30" s="80">
        <f t="shared" si="0"/>
        <v>29</v>
      </c>
      <c r="B30" s="42" t="s">
        <v>79</v>
      </c>
      <c r="C30" s="20" t="s">
        <v>70</v>
      </c>
      <c r="D30" s="130">
        <v>45764</v>
      </c>
      <c r="E30" s="97" t="s">
        <v>46</v>
      </c>
      <c r="F30" s="98"/>
      <c r="G30" s="99" t="s">
        <v>87</v>
      </c>
      <c r="H30" s="100">
        <v>1</v>
      </c>
      <c r="I30" s="98"/>
      <c r="J30" s="101">
        <v>45764.50277777778</v>
      </c>
      <c r="K30" s="102"/>
      <c r="L30" s="98" t="s">
        <v>82</v>
      </c>
      <c r="M30" s="97"/>
      <c r="N30" s="99"/>
      <c r="O30" s="24" t="s">
        <v>83</v>
      </c>
    </row>
    <row r="31" spans="1:15" ht="15.75" x14ac:dyDescent="0.25">
      <c r="A31" s="80">
        <f t="shared" si="0"/>
        <v>30</v>
      </c>
      <c r="B31" s="42" t="s">
        <v>79</v>
      </c>
      <c r="C31" s="20" t="s">
        <v>72</v>
      </c>
      <c r="D31" s="130">
        <v>45769</v>
      </c>
      <c r="E31" s="97" t="s">
        <v>36</v>
      </c>
      <c r="F31" s="98" t="s">
        <v>88</v>
      </c>
      <c r="G31" s="99" t="s">
        <v>89</v>
      </c>
      <c r="H31" s="100">
        <v>1</v>
      </c>
      <c r="I31" s="101">
        <v>45769.370138888888</v>
      </c>
      <c r="J31" s="101">
        <v>45769.426388888889</v>
      </c>
      <c r="K31" s="102">
        <v>1</v>
      </c>
      <c r="L31" s="98" t="s">
        <v>82</v>
      </c>
      <c r="M31" s="97"/>
      <c r="N31" s="99"/>
      <c r="O31" s="24"/>
    </row>
    <row r="32" spans="1:15" ht="15.75" x14ac:dyDescent="0.25">
      <c r="A32" s="80">
        <f t="shared" si="0"/>
        <v>31</v>
      </c>
      <c r="B32" s="42" t="s">
        <v>79</v>
      </c>
      <c r="C32" s="20" t="s">
        <v>74</v>
      </c>
      <c r="D32" s="130">
        <v>45769</v>
      </c>
      <c r="E32" s="97" t="s">
        <v>46</v>
      </c>
      <c r="F32" s="98"/>
      <c r="G32" s="99" t="s">
        <v>90</v>
      </c>
      <c r="H32" s="100">
        <v>1</v>
      </c>
      <c r="I32" s="103"/>
      <c r="J32" s="101">
        <v>45769.751388888886</v>
      </c>
      <c r="K32" s="102"/>
      <c r="L32" s="98" t="s">
        <v>82</v>
      </c>
      <c r="M32" s="97"/>
      <c r="N32" s="99"/>
      <c r="O32" s="24" t="s">
        <v>83</v>
      </c>
    </row>
    <row r="33" spans="1:15" ht="15.75" x14ac:dyDescent="0.25">
      <c r="A33" s="80">
        <f t="shared" si="0"/>
        <v>32</v>
      </c>
      <c r="B33" s="42" t="s">
        <v>79</v>
      </c>
      <c r="C33" s="20" t="s">
        <v>77</v>
      </c>
      <c r="D33" s="130">
        <v>45777</v>
      </c>
      <c r="E33" s="97" t="s">
        <v>46</v>
      </c>
      <c r="F33" s="98"/>
      <c r="G33" s="99" t="s">
        <v>91</v>
      </c>
      <c r="H33" s="100">
        <v>1</v>
      </c>
      <c r="I33" s="98"/>
      <c r="J33" s="101">
        <v>45777.78125</v>
      </c>
      <c r="K33" s="102"/>
      <c r="L33" s="98" t="s">
        <v>82</v>
      </c>
      <c r="M33" s="97"/>
      <c r="N33" s="99"/>
      <c r="O33" s="24" t="s">
        <v>83</v>
      </c>
    </row>
    <row r="34" spans="1:15" ht="15.75" x14ac:dyDescent="0.25">
      <c r="A34" s="80">
        <f t="shared" si="0"/>
        <v>33</v>
      </c>
      <c r="B34" s="42" t="s">
        <v>79</v>
      </c>
      <c r="C34" s="20" t="s">
        <v>92</v>
      </c>
      <c r="D34" s="130">
        <v>45778</v>
      </c>
      <c r="E34" s="97" t="s">
        <v>46</v>
      </c>
      <c r="F34" s="98"/>
      <c r="G34" s="99" t="s">
        <v>93</v>
      </c>
      <c r="H34" s="100">
        <v>1</v>
      </c>
      <c r="I34" s="98"/>
      <c r="J34" s="101">
        <v>45778.595138888886</v>
      </c>
      <c r="K34" s="102"/>
      <c r="L34" s="98" t="s">
        <v>82</v>
      </c>
      <c r="M34" s="97"/>
      <c r="N34" s="99"/>
      <c r="O34" s="24" t="s">
        <v>83</v>
      </c>
    </row>
    <row r="35" spans="1:15" ht="42.75" x14ac:dyDescent="0.25">
      <c r="A35" s="80">
        <f t="shared" si="0"/>
        <v>34</v>
      </c>
      <c r="B35" s="52" t="s">
        <v>94</v>
      </c>
      <c r="C35" s="21" t="s">
        <v>35</v>
      </c>
      <c r="D35" s="127">
        <v>45671</v>
      </c>
      <c r="E35" s="89" t="s">
        <v>46</v>
      </c>
      <c r="F35" s="88"/>
      <c r="G35" s="29" t="s">
        <v>95</v>
      </c>
      <c r="H35" s="29"/>
      <c r="I35" s="91"/>
      <c r="J35" s="91"/>
      <c r="K35" s="92"/>
      <c r="L35" s="89" t="s">
        <v>96</v>
      </c>
      <c r="M35" s="89"/>
      <c r="N35" s="104" t="s">
        <v>97</v>
      </c>
      <c r="O35" s="8" t="s">
        <v>98</v>
      </c>
    </row>
    <row r="36" spans="1:15" ht="42.75" x14ac:dyDescent="0.25">
      <c r="A36" s="80">
        <f t="shared" si="0"/>
        <v>35</v>
      </c>
      <c r="B36" s="52" t="s">
        <v>94</v>
      </c>
      <c r="C36" s="21" t="s">
        <v>41</v>
      </c>
      <c r="D36" s="127">
        <v>45679</v>
      </c>
      <c r="E36" s="89" t="s">
        <v>46</v>
      </c>
      <c r="F36" s="88"/>
      <c r="G36" s="93" t="s">
        <v>99</v>
      </c>
      <c r="H36" s="104"/>
      <c r="I36" s="91"/>
      <c r="J36" s="91"/>
      <c r="K36" s="92"/>
      <c r="L36" s="89" t="s">
        <v>96</v>
      </c>
      <c r="M36" s="89"/>
      <c r="N36" s="104" t="s">
        <v>100</v>
      </c>
      <c r="O36" s="8" t="s">
        <v>98</v>
      </c>
    </row>
    <row r="37" spans="1:15" ht="42.75" x14ac:dyDescent="0.25">
      <c r="A37" s="80">
        <f t="shared" si="0"/>
        <v>36</v>
      </c>
      <c r="B37" s="52" t="s">
        <v>94</v>
      </c>
      <c r="C37" s="21" t="s">
        <v>45</v>
      </c>
      <c r="D37" s="127">
        <v>45743</v>
      </c>
      <c r="E37" s="89" t="s">
        <v>46</v>
      </c>
      <c r="F37" s="88"/>
      <c r="G37" s="93" t="s">
        <v>101</v>
      </c>
      <c r="H37" s="104"/>
      <c r="I37" s="91"/>
      <c r="J37" s="91"/>
      <c r="K37" s="92"/>
      <c r="L37" s="89" t="s">
        <v>96</v>
      </c>
      <c r="M37" s="89"/>
      <c r="N37" s="104" t="s">
        <v>102</v>
      </c>
      <c r="O37" s="8" t="s">
        <v>98</v>
      </c>
    </row>
    <row r="38" spans="1:15" ht="15.75" x14ac:dyDescent="0.25">
      <c r="A38" s="80">
        <f t="shared" si="0"/>
        <v>37</v>
      </c>
      <c r="B38" s="50" t="s">
        <v>103</v>
      </c>
      <c r="C38" s="17" t="s">
        <v>35</v>
      </c>
      <c r="D38" s="129">
        <v>45706</v>
      </c>
      <c r="E38" s="82" t="s">
        <v>46</v>
      </c>
      <c r="F38" s="81"/>
      <c r="G38" s="94"/>
      <c r="H38" s="95"/>
      <c r="I38" s="85"/>
      <c r="J38" s="85"/>
      <c r="K38" s="86"/>
      <c r="L38" s="82" t="s">
        <v>104</v>
      </c>
      <c r="M38" s="82"/>
      <c r="N38" s="83"/>
      <c r="O38" s="13" t="s">
        <v>105</v>
      </c>
    </row>
    <row r="39" spans="1:15" ht="15.75" x14ac:dyDescent="0.25">
      <c r="A39" s="80">
        <f t="shared" si="0"/>
        <v>38</v>
      </c>
      <c r="B39" s="50" t="s">
        <v>103</v>
      </c>
      <c r="C39" s="17" t="s">
        <v>41</v>
      </c>
      <c r="D39" s="129">
        <v>45713</v>
      </c>
      <c r="E39" s="82" t="s">
        <v>46</v>
      </c>
      <c r="F39" s="81"/>
      <c r="G39" s="94"/>
      <c r="H39" s="95"/>
      <c r="I39" s="85"/>
      <c r="J39" s="85"/>
      <c r="K39" s="86"/>
      <c r="L39" s="82" t="s">
        <v>104</v>
      </c>
      <c r="M39" s="82"/>
      <c r="N39" s="83"/>
      <c r="O39" s="13" t="s">
        <v>105</v>
      </c>
    </row>
    <row r="40" spans="1:15" ht="15.75" x14ac:dyDescent="0.25">
      <c r="A40" s="80">
        <f t="shared" si="0"/>
        <v>39</v>
      </c>
      <c r="B40" s="50" t="s">
        <v>103</v>
      </c>
      <c r="C40" s="17" t="s">
        <v>45</v>
      </c>
      <c r="D40" s="129">
        <v>45770</v>
      </c>
      <c r="E40" s="82" t="s">
        <v>36</v>
      </c>
      <c r="F40" s="81" t="s">
        <v>106</v>
      </c>
      <c r="G40" s="16" t="s">
        <v>107</v>
      </c>
      <c r="H40" s="84"/>
      <c r="I40" s="81"/>
      <c r="J40" s="85">
        <v>45771.234722222223</v>
      </c>
      <c r="K40" s="86"/>
      <c r="L40" s="82" t="s">
        <v>104</v>
      </c>
      <c r="M40" s="82"/>
      <c r="N40" s="83"/>
      <c r="O40" s="13" t="s">
        <v>105</v>
      </c>
    </row>
    <row r="41" spans="1:15" ht="15.75" x14ac:dyDescent="0.25">
      <c r="A41" s="80">
        <f t="shared" si="0"/>
        <v>40</v>
      </c>
      <c r="B41" s="50" t="s">
        <v>103</v>
      </c>
      <c r="C41" s="17" t="s">
        <v>67</v>
      </c>
      <c r="D41" s="129">
        <v>45770</v>
      </c>
      <c r="E41" s="82" t="s">
        <v>36</v>
      </c>
      <c r="F41" s="81" t="s">
        <v>106</v>
      </c>
      <c r="G41" s="83"/>
      <c r="H41" s="84"/>
      <c r="I41" s="81"/>
      <c r="J41" s="85"/>
      <c r="K41" s="86"/>
      <c r="L41" s="82" t="s">
        <v>104</v>
      </c>
      <c r="M41" s="82"/>
      <c r="N41" s="83"/>
      <c r="O41" s="13" t="s">
        <v>105</v>
      </c>
    </row>
    <row r="42" spans="1:15" ht="42.75" x14ac:dyDescent="0.25">
      <c r="A42" s="80">
        <f t="shared" si="0"/>
        <v>41</v>
      </c>
      <c r="B42" s="53" t="s">
        <v>103</v>
      </c>
      <c r="C42" s="48" t="s">
        <v>70</v>
      </c>
      <c r="D42" s="132">
        <v>45783</v>
      </c>
      <c r="E42" s="89" t="s">
        <v>36</v>
      </c>
      <c r="F42" s="88" t="s">
        <v>108</v>
      </c>
      <c r="G42" s="93" t="s">
        <v>109</v>
      </c>
      <c r="H42" s="104"/>
      <c r="I42" s="88"/>
      <c r="J42" s="91">
        <v>45783.977083333331</v>
      </c>
      <c r="K42" s="92"/>
      <c r="L42" s="89" t="s">
        <v>104</v>
      </c>
      <c r="M42" s="89"/>
      <c r="N42" s="93" t="s">
        <v>110</v>
      </c>
      <c r="O42" s="40" t="s">
        <v>105</v>
      </c>
    </row>
    <row r="43" spans="1:15" ht="42.75" x14ac:dyDescent="0.25">
      <c r="A43" s="80">
        <f t="shared" si="0"/>
        <v>42</v>
      </c>
      <c r="B43" s="53" t="s">
        <v>103</v>
      </c>
      <c r="C43" s="48" t="s">
        <v>72</v>
      </c>
      <c r="D43" s="132" t="s">
        <v>64</v>
      </c>
      <c r="E43" s="89" t="s">
        <v>36</v>
      </c>
      <c r="F43" s="88" t="s">
        <v>111</v>
      </c>
      <c r="G43" s="93"/>
      <c r="H43" s="104"/>
      <c r="I43" s="88"/>
      <c r="J43" s="91"/>
      <c r="K43" s="92"/>
      <c r="L43" s="89" t="s">
        <v>104</v>
      </c>
      <c r="M43" s="89"/>
      <c r="N43" s="93" t="s">
        <v>112</v>
      </c>
      <c r="O43" s="40" t="s">
        <v>105</v>
      </c>
    </row>
    <row r="44" spans="1:15" ht="42.75" x14ac:dyDescent="0.25">
      <c r="A44" s="80">
        <f t="shared" si="0"/>
        <v>43</v>
      </c>
      <c r="B44" s="49" t="s">
        <v>103</v>
      </c>
      <c r="C44" s="48" t="s">
        <v>74</v>
      </c>
      <c r="D44" s="132">
        <v>45784</v>
      </c>
      <c r="E44" s="89" t="s">
        <v>36</v>
      </c>
      <c r="F44" s="88" t="s">
        <v>108</v>
      </c>
      <c r="G44" s="93" t="s">
        <v>113</v>
      </c>
      <c r="H44" s="104"/>
      <c r="I44" s="88"/>
      <c r="J44" s="91">
        <v>45784.806250000001</v>
      </c>
      <c r="K44" s="92"/>
      <c r="L44" s="89" t="s">
        <v>104</v>
      </c>
      <c r="M44" s="89"/>
      <c r="N44" s="93" t="s">
        <v>114</v>
      </c>
      <c r="O44" s="40" t="s">
        <v>105</v>
      </c>
    </row>
    <row r="45" spans="1:15" ht="29.25" x14ac:dyDescent="0.25">
      <c r="A45" s="80">
        <f t="shared" si="0"/>
        <v>44</v>
      </c>
      <c r="B45" s="27" t="s">
        <v>115</v>
      </c>
      <c r="C45" s="17" t="s">
        <v>35</v>
      </c>
      <c r="D45" s="131">
        <v>45764</v>
      </c>
      <c r="E45" s="82" t="s">
        <v>46</v>
      </c>
      <c r="F45" s="81"/>
      <c r="G45" s="57" t="s">
        <v>116</v>
      </c>
      <c r="H45" s="84"/>
      <c r="I45" s="81"/>
      <c r="J45" s="85">
        <v>45765.404166666667</v>
      </c>
      <c r="K45" s="86"/>
      <c r="L45" s="81" t="s">
        <v>117</v>
      </c>
      <c r="M45" s="82"/>
      <c r="N45" s="83"/>
      <c r="O45" s="58" t="s">
        <v>118</v>
      </c>
    </row>
    <row r="46" spans="1:15" ht="28.5" x14ac:dyDescent="0.25">
      <c r="A46" s="80">
        <f t="shared" si="0"/>
        <v>45</v>
      </c>
      <c r="B46" s="27" t="s">
        <v>115</v>
      </c>
      <c r="C46" s="17" t="s">
        <v>41</v>
      </c>
      <c r="D46" s="131">
        <v>45765</v>
      </c>
      <c r="E46" s="82" t="s">
        <v>46</v>
      </c>
      <c r="F46" s="81"/>
      <c r="G46" s="83" t="s">
        <v>119</v>
      </c>
      <c r="H46" s="84"/>
      <c r="I46" s="81"/>
      <c r="J46" s="85"/>
      <c r="K46" s="86"/>
      <c r="L46" s="81" t="s">
        <v>117</v>
      </c>
      <c r="M46" s="82"/>
      <c r="N46" s="83"/>
      <c r="O46" s="58" t="s">
        <v>118</v>
      </c>
    </row>
    <row r="47" spans="1:15" ht="15.75" x14ac:dyDescent="0.25">
      <c r="A47" s="80">
        <f t="shared" si="0"/>
        <v>46</v>
      </c>
      <c r="B47" s="27" t="s">
        <v>120</v>
      </c>
      <c r="C47" s="19" t="s">
        <v>35</v>
      </c>
      <c r="D47" s="126">
        <v>45792</v>
      </c>
      <c r="E47" s="82" t="s">
        <v>46</v>
      </c>
      <c r="F47" s="81"/>
      <c r="G47" s="83" t="s">
        <v>121</v>
      </c>
      <c r="H47" s="84"/>
      <c r="I47" s="85"/>
      <c r="J47" s="85">
        <v>45793.29583333333</v>
      </c>
      <c r="K47" s="86">
        <v>1</v>
      </c>
      <c r="L47" s="82" t="s">
        <v>122</v>
      </c>
      <c r="M47" s="82"/>
      <c r="N47" s="83"/>
      <c r="O47" s="4"/>
    </row>
    <row r="48" spans="1:15" ht="15.75" x14ac:dyDescent="0.25">
      <c r="A48" s="80">
        <f t="shared" si="0"/>
        <v>47</v>
      </c>
      <c r="B48" s="54" t="s">
        <v>123</v>
      </c>
      <c r="C48" s="20" t="s">
        <v>35</v>
      </c>
      <c r="D48" s="130">
        <v>45848</v>
      </c>
      <c r="E48" s="97" t="s">
        <v>36</v>
      </c>
      <c r="F48" s="98" t="s">
        <v>124</v>
      </c>
      <c r="G48" s="99" t="s">
        <v>125</v>
      </c>
      <c r="H48" s="100">
        <v>1</v>
      </c>
      <c r="I48" s="98"/>
      <c r="J48" s="101">
        <v>45849.345138888886</v>
      </c>
      <c r="K48" s="102"/>
      <c r="L48" s="98" t="s">
        <v>126</v>
      </c>
      <c r="M48" s="97"/>
      <c r="N48" s="99"/>
      <c r="O48" s="14"/>
    </row>
    <row r="49" spans="1:15" ht="15.75" x14ac:dyDescent="0.25">
      <c r="A49" s="80">
        <f t="shared" si="0"/>
        <v>48</v>
      </c>
      <c r="B49" s="54" t="s">
        <v>123</v>
      </c>
      <c r="C49" s="38" t="s">
        <v>41</v>
      </c>
      <c r="D49" s="133">
        <v>45855</v>
      </c>
      <c r="E49" s="97" t="s">
        <v>46</v>
      </c>
      <c r="F49" s="98"/>
      <c r="G49" s="99" t="s">
        <v>127</v>
      </c>
      <c r="H49" s="100">
        <v>1</v>
      </c>
      <c r="I49" s="98"/>
      <c r="J49" s="101">
        <v>45490.534722222219</v>
      </c>
      <c r="K49" s="102"/>
      <c r="L49" s="98" t="s">
        <v>128</v>
      </c>
      <c r="M49" s="97"/>
      <c r="N49" s="99"/>
      <c r="O49" s="24"/>
    </row>
    <row r="50" spans="1:15" ht="12.75" customHeight="1" x14ac:dyDescent="0.25">
      <c r="A50" s="80">
        <f t="shared" si="0"/>
        <v>49</v>
      </c>
      <c r="B50" s="54" t="s">
        <v>123</v>
      </c>
      <c r="C50" s="38" t="s">
        <v>45</v>
      </c>
      <c r="D50" s="133">
        <v>45856</v>
      </c>
      <c r="E50" s="97" t="s">
        <v>46</v>
      </c>
      <c r="F50" s="98"/>
      <c r="G50" s="99" t="s">
        <v>129</v>
      </c>
      <c r="H50" s="100">
        <v>1</v>
      </c>
      <c r="I50" s="98"/>
      <c r="J50" s="101">
        <v>45491.51458333333</v>
      </c>
      <c r="K50" s="102"/>
      <c r="L50" s="98" t="s">
        <v>128</v>
      </c>
      <c r="M50" s="97"/>
      <c r="N50" s="99"/>
      <c r="O50" s="24"/>
    </row>
    <row r="51" spans="1:15" ht="28.5" x14ac:dyDescent="0.25">
      <c r="A51" s="80">
        <f t="shared" si="0"/>
        <v>50</v>
      </c>
      <c r="B51" s="51" t="s">
        <v>130</v>
      </c>
      <c r="C51" s="18" t="s">
        <v>35</v>
      </c>
      <c r="D51" s="126">
        <v>45832</v>
      </c>
      <c r="E51" s="82" t="s">
        <v>46</v>
      </c>
      <c r="F51" s="81"/>
      <c r="G51" s="83" t="s">
        <v>131</v>
      </c>
      <c r="H51" s="84"/>
      <c r="I51" s="81"/>
      <c r="J51" s="85"/>
      <c r="K51" s="86"/>
      <c r="L51" s="82" t="s">
        <v>132</v>
      </c>
      <c r="M51" s="82"/>
      <c r="N51" s="83"/>
      <c r="O51" s="4"/>
    </row>
    <row r="52" spans="1:15" ht="15.75" x14ac:dyDescent="0.25">
      <c r="A52" s="80">
        <f t="shared" si="0"/>
        <v>51</v>
      </c>
      <c r="B52" s="51" t="s">
        <v>130</v>
      </c>
      <c r="C52" s="18" t="s">
        <v>41</v>
      </c>
      <c r="D52" s="126">
        <v>45832</v>
      </c>
      <c r="E52" s="82" t="s">
        <v>46</v>
      </c>
      <c r="F52" s="81"/>
      <c r="G52" s="83"/>
      <c r="H52" s="84"/>
      <c r="I52" s="81"/>
      <c r="J52" s="85"/>
      <c r="K52" s="86"/>
      <c r="L52" s="82" t="s">
        <v>132</v>
      </c>
      <c r="M52" s="82"/>
      <c r="N52" s="83"/>
      <c r="O52" s="4"/>
    </row>
    <row r="53" spans="1:15" ht="12.75" customHeight="1" x14ac:dyDescent="0.25">
      <c r="A53" s="80">
        <f t="shared" si="0"/>
        <v>52</v>
      </c>
      <c r="B53" s="54" t="s">
        <v>133</v>
      </c>
      <c r="C53" s="38" t="s">
        <v>35</v>
      </c>
      <c r="D53" s="133">
        <v>45870</v>
      </c>
      <c r="E53" s="97" t="s">
        <v>36</v>
      </c>
      <c r="F53" s="98" t="s">
        <v>134</v>
      </c>
      <c r="G53" s="99" t="s">
        <v>135</v>
      </c>
      <c r="H53" s="100">
        <v>1</v>
      </c>
      <c r="I53" s="98"/>
      <c r="J53" s="101">
        <v>45870.493750000001</v>
      </c>
      <c r="K53" s="102"/>
      <c r="L53" s="97" t="s">
        <v>136</v>
      </c>
      <c r="M53" s="97"/>
      <c r="N53" s="99"/>
      <c r="O53" s="24"/>
    </row>
    <row r="54" spans="1:15" ht="12.75" customHeight="1" x14ac:dyDescent="0.25">
      <c r="A54" s="80">
        <f t="shared" si="0"/>
        <v>53</v>
      </c>
      <c r="B54" s="51" t="s">
        <v>137</v>
      </c>
      <c r="C54" s="18" t="s">
        <v>35</v>
      </c>
      <c r="D54" s="126">
        <v>45867</v>
      </c>
      <c r="E54" s="82" t="s">
        <v>46</v>
      </c>
      <c r="F54" s="81"/>
      <c r="G54" s="83" t="s">
        <v>138</v>
      </c>
      <c r="H54" s="84"/>
      <c r="I54" s="81"/>
      <c r="J54" s="85"/>
      <c r="K54" s="86"/>
      <c r="L54" s="82" t="s">
        <v>139</v>
      </c>
      <c r="M54" s="82"/>
      <c r="N54" s="83"/>
      <c r="O54" s="4"/>
    </row>
    <row r="55" spans="1:15" ht="12.75" customHeight="1" x14ac:dyDescent="0.25">
      <c r="A55" s="80">
        <f t="shared" si="0"/>
        <v>54</v>
      </c>
      <c r="B55" s="51" t="s">
        <v>137</v>
      </c>
      <c r="C55" s="18" t="s">
        <v>41</v>
      </c>
      <c r="D55" s="126">
        <v>45868</v>
      </c>
      <c r="E55" s="82" t="s">
        <v>46</v>
      </c>
      <c r="F55" s="81"/>
      <c r="G55" s="83" t="s">
        <v>140</v>
      </c>
      <c r="H55" s="84"/>
      <c r="I55" s="81"/>
      <c r="J55" s="85"/>
      <c r="K55" s="86"/>
      <c r="L55" s="82" t="s">
        <v>139</v>
      </c>
      <c r="M55" s="82"/>
      <c r="N55" s="83"/>
      <c r="O55" s="4"/>
    </row>
    <row r="56" spans="1:15" ht="12.75" customHeight="1" x14ac:dyDescent="0.25">
      <c r="A56" s="80">
        <f t="shared" si="0"/>
        <v>55</v>
      </c>
      <c r="B56" s="54" t="s">
        <v>141</v>
      </c>
      <c r="C56" s="38" t="s">
        <v>35</v>
      </c>
      <c r="D56" s="133">
        <v>45890</v>
      </c>
      <c r="E56" s="97" t="s">
        <v>36</v>
      </c>
      <c r="F56" s="98" t="s">
        <v>134</v>
      </c>
      <c r="G56" s="47" t="s">
        <v>142</v>
      </c>
      <c r="H56" s="100">
        <v>1</v>
      </c>
      <c r="I56" s="26"/>
      <c r="J56" s="101">
        <v>45890.661805555559</v>
      </c>
      <c r="K56" s="103"/>
      <c r="L56" s="97" t="s">
        <v>143</v>
      </c>
      <c r="M56" s="103"/>
      <c r="N56" s="103"/>
      <c r="O56" s="103"/>
    </row>
    <row r="57" spans="1:15" ht="15.75" x14ac:dyDescent="0.25">
      <c r="A57" s="80">
        <f t="shared" si="0"/>
        <v>56</v>
      </c>
      <c r="B57" s="54" t="s">
        <v>141</v>
      </c>
      <c r="C57" s="38" t="s">
        <v>41</v>
      </c>
      <c r="D57" s="133">
        <v>45891</v>
      </c>
      <c r="E57" s="97" t="s">
        <v>36</v>
      </c>
      <c r="F57" s="98" t="s">
        <v>134</v>
      </c>
      <c r="G57" s="47" t="s">
        <v>144</v>
      </c>
      <c r="H57" s="100">
        <v>1</v>
      </c>
      <c r="I57" s="26"/>
      <c r="J57" s="101">
        <v>45891.556944444441</v>
      </c>
      <c r="K57" s="103"/>
      <c r="L57" s="97" t="s">
        <v>143</v>
      </c>
      <c r="M57" s="103"/>
      <c r="N57" s="103"/>
      <c r="O57" s="103"/>
    </row>
    <row r="58" spans="1:15" ht="15.75" x14ac:dyDescent="0.25">
      <c r="A58" s="80">
        <f t="shared" si="0"/>
        <v>57</v>
      </c>
      <c r="B58" s="54" t="s">
        <v>145</v>
      </c>
      <c r="C58" s="38" t="s">
        <v>35</v>
      </c>
      <c r="D58" s="133">
        <v>45883</v>
      </c>
      <c r="E58" s="97" t="s">
        <v>36</v>
      </c>
      <c r="F58" s="98" t="s">
        <v>146</v>
      </c>
      <c r="G58" s="44" t="s">
        <v>147</v>
      </c>
      <c r="H58" s="45">
        <v>1</v>
      </c>
      <c r="I58" s="26"/>
      <c r="J58" s="101">
        <v>45883.625</v>
      </c>
      <c r="K58" s="103"/>
      <c r="L58" s="97" t="s">
        <v>148</v>
      </c>
      <c r="M58" s="103"/>
      <c r="N58" s="103"/>
      <c r="O58" s="103"/>
    </row>
    <row r="59" spans="1:15" ht="15.75" x14ac:dyDescent="0.25">
      <c r="A59" s="80">
        <f t="shared" si="0"/>
        <v>58</v>
      </c>
      <c r="B59" s="54" t="s">
        <v>145</v>
      </c>
      <c r="C59" s="38" t="s">
        <v>41</v>
      </c>
      <c r="D59" s="133">
        <v>45888</v>
      </c>
      <c r="E59" s="97" t="s">
        <v>36</v>
      </c>
      <c r="F59" s="98" t="s">
        <v>146</v>
      </c>
      <c r="G59" s="44" t="s">
        <v>149</v>
      </c>
      <c r="H59" s="45">
        <v>1</v>
      </c>
      <c r="I59" s="26"/>
      <c r="J59" s="101">
        <v>45888.464583333334</v>
      </c>
      <c r="K59" s="103"/>
      <c r="L59" s="97" t="s">
        <v>148</v>
      </c>
      <c r="M59" s="103"/>
      <c r="N59" s="103"/>
      <c r="O59" s="103"/>
    </row>
    <row r="60" spans="1:15" ht="15.75" x14ac:dyDescent="0.25">
      <c r="A60" s="80">
        <f t="shared" si="0"/>
        <v>59</v>
      </c>
      <c r="B60" s="51" t="s">
        <v>150</v>
      </c>
      <c r="C60" s="18" t="s">
        <v>35</v>
      </c>
      <c r="D60" s="126">
        <v>45876</v>
      </c>
      <c r="E60" s="82" t="s">
        <v>46</v>
      </c>
      <c r="F60" s="81"/>
      <c r="G60" s="83"/>
      <c r="H60" s="84"/>
      <c r="I60" s="81"/>
      <c r="J60" s="85"/>
      <c r="K60" s="86"/>
      <c r="L60" s="82" t="s">
        <v>151</v>
      </c>
      <c r="M60" s="82"/>
      <c r="N60" s="83"/>
      <c r="O60" s="4"/>
    </row>
    <row r="61" spans="1:15" ht="15.75" x14ac:dyDescent="0.25">
      <c r="A61" s="80">
        <f t="shared" si="0"/>
        <v>60</v>
      </c>
      <c r="B61" s="51" t="s">
        <v>150</v>
      </c>
      <c r="C61" s="18" t="s">
        <v>41</v>
      </c>
      <c r="D61" s="126">
        <v>45877</v>
      </c>
      <c r="E61" s="82" t="s">
        <v>46</v>
      </c>
      <c r="F61" s="81"/>
      <c r="G61" s="83"/>
      <c r="H61" s="84"/>
      <c r="I61" s="81"/>
      <c r="J61" s="85"/>
      <c r="K61" s="86"/>
      <c r="L61" s="82" t="s">
        <v>151</v>
      </c>
      <c r="M61" s="82"/>
      <c r="N61" s="83"/>
      <c r="O61" s="4"/>
    </row>
    <row r="62" spans="1:15" ht="15.75" x14ac:dyDescent="0.25">
      <c r="A62" s="80">
        <f t="shared" si="0"/>
        <v>61</v>
      </c>
      <c r="B62" s="50" t="s">
        <v>152</v>
      </c>
      <c r="C62" s="19" t="s">
        <v>35</v>
      </c>
      <c r="D62" s="126">
        <v>45812</v>
      </c>
      <c r="E62" s="82" t="s">
        <v>46</v>
      </c>
      <c r="F62" s="81"/>
      <c r="G62" s="83" t="s">
        <v>153</v>
      </c>
      <c r="H62" s="84"/>
      <c r="I62" s="85"/>
      <c r="J62" s="85"/>
      <c r="K62" s="86"/>
      <c r="L62" s="82" t="s">
        <v>122</v>
      </c>
      <c r="M62" s="82"/>
      <c r="N62" s="83"/>
      <c r="O62" s="4"/>
    </row>
    <row r="63" spans="1:15" ht="15.75" x14ac:dyDescent="0.25">
      <c r="A63" s="80">
        <f t="shared" si="0"/>
        <v>62</v>
      </c>
      <c r="B63" s="50" t="s">
        <v>152</v>
      </c>
      <c r="C63" s="19" t="s">
        <v>41</v>
      </c>
      <c r="D63" s="126">
        <v>45812</v>
      </c>
      <c r="E63" s="82" t="s">
        <v>46</v>
      </c>
      <c r="F63" s="81"/>
      <c r="G63" s="83"/>
      <c r="H63" s="84"/>
      <c r="I63" s="85"/>
      <c r="J63" s="85"/>
      <c r="K63" s="86"/>
      <c r="L63" s="82" t="s">
        <v>122</v>
      </c>
      <c r="M63" s="82"/>
      <c r="N63" s="83"/>
      <c r="O63" s="4"/>
    </row>
    <row r="64" spans="1:15" ht="15.75" x14ac:dyDescent="0.25">
      <c r="A64" s="80">
        <f t="shared" si="0"/>
        <v>63</v>
      </c>
      <c r="B64" s="55" t="s">
        <v>154</v>
      </c>
      <c r="C64" s="25" t="s">
        <v>35</v>
      </c>
      <c r="D64" s="133">
        <v>45807</v>
      </c>
      <c r="E64" s="97" t="s">
        <v>36</v>
      </c>
      <c r="F64" s="98" t="s">
        <v>42</v>
      </c>
      <c r="G64" s="99" t="s">
        <v>155</v>
      </c>
      <c r="H64" s="100">
        <v>1</v>
      </c>
      <c r="I64" s="101"/>
      <c r="J64" s="101">
        <v>45807.395833333336</v>
      </c>
      <c r="K64" s="102">
        <v>1</v>
      </c>
      <c r="L64" s="97" t="s">
        <v>156</v>
      </c>
      <c r="M64" s="97"/>
      <c r="N64" s="99"/>
      <c r="O64" s="24"/>
    </row>
    <row r="65" spans="1:15" ht="15.75" x14ac:dyDescent="0.25">
      <c r="A65" s="80">
        <f t="shared" si="0"/>
        <v>64</v>
      </c>
      <c r="B65" s="50" t="s">
        <v>154</v>
      </c>
      <c r="C65" s="19" t="s">
        <v>41</v>
      </c>
      <c r="D65" s="126">
        <v>45807</v>
      </c>
      <c r="E65" s="82" t="s">
        <v>46</v>
      </c>
      <c r="F65" s="81"/>
      <c r="G65" s="83"/>
      <c r="H65" s="84"/>
      <c r="I65" s="85"/>
      <c r="J65" s="85"/>
      <c r="K65" s="86"/>
      <c r="L65" s="82" t="s">
        <v>156</v>
      </c>
      <c r="M65" s="82"/>
      <c r="N65" s="83"/>
      <c r="O65" s="4"/>
    </row>
    <row r="66" spans="1:15" ht="15.75" x14ac:dyDescent="0.25">
      <c r="A66" s="80">
        <f t="shared" si="0"/>
        <v>65</v>
      </c>
      <c r="B66" s="54" t="s">
        <v>157</v>
      </c>
      <c r="C66" s="38" t="s">
        <v>35</v>
      </c>
      <c r="D66" s="133">
        <v>45881</v>
      </c>
      <c r="E66" s="97" t="s">
        <v>36</v>
      </c>
      <c r="F66" s="98" t="s">
        <v>158</v>
      </c>
      <c r="G66" s="99" t="s">
        <v>159</v>
      </c>
      <c r="H66" s="45">
        <v>1</v>
      </c>
      <c r="I66" s="26"/>
      <c r="J66" s="101">
        <v>45882.006944444445</v>
      </c>
      <c r="K66" s="103"/>
      <c r="L66" s="97" t="s">
        <v>148</v>
      </c>
      <c r="M66" s="103"/>
      <c r="N66" s="103"/>
      <c r="O66" s="103"/>
    </row>
    <row r="67" spans="1:15" ht="15.75" x14ac:dyDescent="0.25">
      <c r="A67" s="80">
        <f t="shared" si="0"/>
        <v>66</v>
      </c>
      <c r="B67" s="54" t="s">
        <v>157</v>
      </c>
      <c r="C67" s="38" t="s">
        <v>41</v>
      </c>
      <c r="D67" s="133">
        <v>45882</v>
      </c>
      <c r="E67" s="97" t="s">
        <v>36</v>
      </c>
      <c r="F67" s="98" t="s">
        <v>42</v>
      </c>
      <c r="G67" s="99" t="s">
        <v>160</v>
      </c>
      <c r="H67" s="45">
        <v>1</v>
      </c>
      <c r="I67" s="26"/>
      <c r="J67" s="101">
        <v>45882.427083333336</v>
      </c>
      <c r="K67" s="102">
        <v>1</v>
      </c>
      <c r="L67" s="97" t="s">
        <v>148</v>
      </c>
      <c r="M67" s="103"/>
      <c r="N67" s="103"/>
      <c r="O67" s="103"/>
    </row>
    <row r="68" spans="1:15" ht="15.75" x14ac:dyDescent="0.25">
      <c r="A68" s="80">
        <f t="shared" si="0"/>
        <v>67</v>
      </c>
      <c r="B68" s="51" t="s">
        <v>157</v>
      </c>
      <c r="C68" s="18" t="s">
        <v>45</v>
      </c>
      <c r="D68" s="126">
        <v>45882</v>
      </c>
      <c r="E68" s="82" t="s">
        <v>46</v>
      </c>
      <c r="F68" s="81"/>
      <c r="G68" s="83"/>
      <c r="H68" s="46"/>
      <c r="K68" s="105"/>
      <c r="L68" s="82" t="s">
        <v>148</v>
      </c>
      <c r="M68" s="105"/>
      <c r="N68" s="105"/>
      <c r="O68" s="105"/>
    </row>
    <row r="69" spans="1:15" ht="15.75" x14ac:dyDescent="0.25">
      <c r="A69" s="80">
        <f t="shared" ref="A69:A144" si="1">A68+1</f>
        <v>68</v>
      </c>
      <c r="B69" s="54" t="s">
        <v>157</v>
      </c>
      <c r="C69" s="38" t="s">
        <v>67</v>
      </c>
      <c r="D69" s="133">
        <v>45883</v>
      </c>
      <c r="E69" s="97" t="s">
        <v>36</v>
      </c>
      <c r="F69" s="98" t="s">
        <v>146</v>
      </c>
      <c r="G69" s="44" t="s">
        <v>161</v>
      </c>
      <c r="H69" s="45">
        <v>1</v>
      </c>
      <c r="I69" s="26"/>
      <c r="J69" s="101">
        <v>45883.539583333331</v>
      </c>
      <c r="K69" s="103"/>
      <c r="L69" s="97" t="s">
        <v>148</v>
      </c>
      <c r="M69" s="103"/>
      <c r="N69" s="103"/>
      <c r="O69" s="103"/>
    </row>
    <row r="70" spans="1:15" ht="15.75" x14ac:dyDescent="0.25">
      <c r="A70" s="80">
        <f t="shared" si="1"/>
        <v>69</v>
      </c>
      <c r="B70" s="54" t="s">
        <v>162</v>
      </c>
      <c r="C70" s="38" t="s">
        <v>35</v>
      </c>
      <c r="D70" s="133">
        <v>45846</v>
      </c>
      <c r="E70" s="97" t="s">
        <v>36</v>
      </c>
      <c r="F70" s="98" t="s">
        <v>124</v>
      </c>
      <c r="G70" s="99" t="s">
        <v>163</v>
      </c>
      <c r="H70" s="100">
        <v>1</v>
      </c>
      <c r="I70" s="98"/>
      <c r="J70" s="101">
        <v>45846.600694444445</v>
      </c>
      <c r="K70" s="102"/>
      <c r="L70" s="98" t="s">
        <v>164</v>
      </c>
      <c r="M70" s="97"/>
      <c r="N70" s="99"/>
      <c r="O70" s="24"/>
    </row>
    <row r="71" spans="1:15" ht="15.75" x14ac:dyDescent="0.25">
      <c r="A71" s="80">
        <f t="shared" si="1"/>
        <v>70</v>
      </c>
      <c r="B71" s="54" t="s">
        <v>162</v>
      </c>
      <c r="C71" s="38" t="s">
        <v>41</v>
      </c>
      <c r="D71" s="133">
        <v>45853</v>
      </c>
      <c r="E71" s="97" t="s">
        <v>46</v>
      </c>
      <c r="F71" s="98"/>
      <c r="G71" s="99" t="s">
        <v>165</v>
      </c>
      <c r="H71" s="100">
        <v>1</v>
      </c>
      <c r="I71" s="98"/>
      <c r="J71" s="101">
        <v>45488.713888888888</v>
      </c>
      <c r="K71" s="102"/>
      <c r="L71" s="98" t="s">
        <v>164</v>
      </c>
      <c r="M71" s="97"/>
      <c r="N71" s="99"/>
      <c r="O71" s="24"/>
    </row>
    <row r="72" spans="1:15" ht="15.75" x14ac:dyDescent="0.25">
      <c r="A72" s="80">
        <f t="shared" si="1"/>
        <v>71</v>
      </c>
      <c r="B72" s="54" t="s">
        <v>162</v>
      </c>
      <c r="C72" s="38" t="s">
        <v>45</v>
      </c>
      <c r="D72" s="133">
        <v>45854</v>
      </c>
      <c r="E72" s="97" t="s">
        <v>46</v>
      </c>
      <c r="F72" s="98"/>
      <c r="G72" s="99" t="s">
        <v>166</v>
      </c>
      <c r="H72" s="100">
        <v>1</v>
      </c>
      <c r="I72" s="98"/>
      <c r="J72" s="101">
        <v>45489.558333333334</v>
      </c>
      <c r="K72" s="102"/>
      <c r="L72" s="98" t="s">
        <v>164</v>
      </c>
      <c r="M72" s="97"/>
      <c r="N72" s="99"/>
      <c r="O72" s="24"/>
    </row>
    <row r="73" spans="1:15" ht="15.75" x14ac:dyDescent="0.25">
      <c r="A73" s="80">
        <f t="shared" si="1"/>
        <v>72</v>
      </c>
      <c r="B73" s="50" t="s">
        <v>167</v>
      </c>
      <c r="C73" s="17" t="s">
        <v>35</v>
      </c>
      <c r="D73" s="131">
        <v>45819</v>
      </c>
      <c r="E73" s="82" t="s">
        <v>46</v>
      </c>
      <c r="F73" s="81"/>
      <c r="G73" s="83"/>
      <c r="H73" s="84"/>
      <c r="I73" s="81"/>
      <c r="J73" s="85"/>
      <c r="K73" s="86"/>
      <c r="L73" s="81" t="s">
        <v>168</v>
      </c>
      <c r="M73" s="82"/>
      <c r="N73" s="83"/>
      <c r="O73" s="13"/>
    </row>
    <row r="74" spans="1:15" ht="15.75" x14ac:dyDescent="0.25">
      <c r="A74" s="80">
        <f t="shared" si="1"/>
        <v>73</v>
      </c>
      <c r="B74" s="50" t="s">
        <v>169</v>
      </c>
      <c r="C74" s="17" t="s">
        <v>41</v>
      </c>
      <c r="D74" s="131">
        <v>45825</v>
      </c>
      <c r="E74" s="82" t="s">
        <v>46</v>
      </c>
      <c r="F74" s="81"/>
      <c r="G74" s="83"/>
      <c r="H74" s="84"/>
      <c r="I74" s="81"/>
      <c r="J74" s="85"/>
      <c r="K74" s="86"/>
      <c r="L74" s="81" t="s">
        <v>168</v>
      </c>
      <c r="M74" s="82"/>
      <c r="N74" s="83"/>
      <c r="O74" s="13"/>
    </row>
    <row r="75" spans="1:15" ht="15.75" x14ac:dyDescent="0.25">
      <c r="A75" s="80">
        <f t="shared" si="1"/>
        <v>74</v>
      </c>
      <c r="B75" s="54" t="s">
        <v>169</v>
      </c>
      <c r="C75" s="20" t="s">
        <v>45</v>
      </c>
      <c r="D75" s="130">
        <v>45847</v>
      </c>
      <c r="E75" s="97" t="s">
        <v>36</v>
      </c>
      <c r="F75" s="98" t="s">
        <v>124</v>
      </c>
      <c r="G75" s="99" t="s">
        <v>170</v>
      </c>
      <c r="H75" s="100">
        <v>1</v>
      </c>
      <c r="I75" s="98"/>
      <c r="J75" s="101">
        <v>45848.37222222222</v>
      </c>
      <c r="K75" s="102"/>
      <c r="L75" s="98" t="s">
        <v>168</v>
      </c>
      <c r="M75" s="97"/>
      <c r="N75" s="99"/>
      <c r="O75" s="14"/>
    </row>
    <row r="76" spans="1:15" ht="15.75" x14ac:dyDescent="0.25">
      <c r="A76" s="80">
        <f t="shared" si="1"/>
        <v>75</v>
      </c>
      <c r="B76" s="55" t="s">
        <v>171</v>
      </c>
      <c r="C76" s="20" t="s">
        <v>35</v>
      </c>
      <c r="D76" s="130">
        <v>45820</v>
      </c>
      <c r="E76" s="97" t="s">
        <v>46</v>
      </c>
      <c r="F76" s="98"/>
      <c r="G76" s="99"/>
      <c r="H76" s="100">
        <v>1</v>
      </c>
      <c r="I76" s="98"/>
      <c r="J76" s="101"/>
      <c r="K76" s="102"/>
      <c r="L76" s="98" t="s">
        <v>168</v>
      </c>
      <c r="M76" s="97"/>
      <c r="N76" s="99"/>
      <c r="O76" s="14"/>
    </row>
    <row r="77" spans="1:15" ht="15.75" x14ac:dyDescent="0.25">
      <c r="A77" s="80">
        <f t="shared" si="1"/>
        <v>76</v>
      </c>
      <c r="B77" s="55" t="s">
        <v>171</v>
      </c>
      <c r="C77" s="20" t="s">
        <v>41</v>
      </c>
      <c r="D77" s="130">
        <v>45825</v>
      </c>
      <c r="E77" s="97" t="s">
        <v>46</v>
      </c>
      <c r="F77" s="98"/>
      <c r="G77" s="99"/>
      <c r="H77" s="100">
        <v>1</v>
      </c>
      <c r="I77" s="98"/>
      <c r="J77" s="101"/>
      <c r="K77" s="102"/>
      <c r="L77" s="98" t="s">
        <v>168</v>
      </c>
      <c r="M77" s="97"/>
      <c r="N77" s="99"/>
      <c r="O77" s="14"/>
    </row>
    <row r="78" spans="1:15" ht="15.75" x14ac:dyDescent="0.25">
      <c r="A78" s="80">
        <f t="shared" si="1"/>
        <v>77</v>
      </c>
      <c r="B78" s="50" t="s">
        <v>172</v>
      </c>
      <c r="C78" s="19" t="s">
        <v>35</v>
      </c>
      <c r="D78" s="126">
        <v>45806</v>
      </c>
      <c r="E78" s="82" t="s">
        <v>46</v>
      </c>
      <c r="F78" s="157"/>
      <c r="G78" s="83" t="s">
        <v>173</v>
      </c>
      <c r="H78" s="84"/>
      <c r="I78" s="85"/>
      <c r="J78" s="85">
        <v>45806.763888888891</v>
      </c>
      <c r="K78" s="105"/>
      <c r="L78" s="82" t="s">
        <v>174</v>
      </c>
      <c r="M78" s="82"/>
      <c r="N78" s="83"/>
      <c r="O78" s="4"/>
    </row>
    <row r="79" spans="1:15" ht="15.75" x14ac:dyDescent="0.25">
      <c r="A79" s="80">
        <f t="shared" si="1"/>
        <v>78</v>
      </c>
      <c r="B79" s="50" t="s">
        <v>172</v>
      </c>
      <c r="C79" s="19" t="s">
        <v>41</v>
      </c>
      <c r="D79" s="126">
        <v>45834</v>
      </c>
      <c r="E79" s="82" t="s">
        <v>46</v>
      </c>
      <c r="F79" s="81"/>
      <c r="G79" s="83" t="s">
        <v>175</v>
      </c>
      <c r="H79" s="84"/>
      <c r="I79" s="85"/>
      <c r="J79" s="85"/>
      <c r="K79" s="86"/>
      <c r="L79" s="82" t="s">
        <v>174</v>
      </c>
      <c r="M79" s="82"/>
      <c r="N79" s="83"/>
      <c r="O79" s="4"/>
    </row>
    <row r="80" spans="1:15" ht="15.75" x14ac:dyDescent="0.25">
      <c r="A80" s="80">
        <f t="shared" si="1"/>
        <v>79</v>
      </c>
      <c r="B80" s="55" t="s">
        <v>176</v>
      </c>
      <c r="C80" s="25" t="s">
        <v>35</v>
      </c>
      <c r="D80" s="133">
        <v>45790</v>
      </c>
      <c r="E80" s="97" t="s">
        <v>46</v>
      </c>
      <c r="F80" s="98"/>
      <c r="G80" s="99" t="s">
        <v>177</v>
      </c>
      <c r="H80" s="100">
        <v>1</v>
      </c>
      <c r="I80" s="101"/>
      <c r="J80" s="101"/>
      <c r="K80" s="102"/>
      <c r="L80" s="97" t="s">
        <v>178</v>
      </c>
      <c r="M80" s="97"/>
      <c r="N80" s="99"/>
      <c r="O80" s="24"/>
    </row>
    <row r="81" spans="1:15" ht="15.75" x14ac:dyDescent="0.25">
      <c r="A81" s="80">
        <f t="shared" si="1"/>
        <v>80</v>
      </c>
      <c r="B81" s="55" t="s">
        <v>176</v>
      </c>
      <c r="C81" s="25" t="s">
        <v>41</v>
      </c>
      <c r="D81" s="133">
        <v>45792</v>
      </c>
      <c r="E81" s="97" t="s">
        <v>46</v>
      </c>
      <c r="F81" s="98"/>
      <c r="G81" s="99" t="s">
        <v>179</v>
      </c>
      <c r="H81" s="100">
        <v>1</v>
      </c>
      <c r="I81" s="101"/>
      <c r="J81" s="101"/>
      <c r="K81" s="102"/>
      <c r="L81" s="97" t="s">
        <v>178</v>
      </c>
      <c r="M81" s="97"/>
      <c r="N81" s="99"/>
      <c r="O81" s="24"/>
    </row>
    <row r="82" spans="1:15" ht="15.75" x14ac:dyDescent="0.25">
      <c r="A82" s="80">
        <f t="shared" si="1"/>
        <v>81</v>
      </c>
      <c r="B82" s="55" t="s">
        <v>180</v>
      </c>
      <c r="C82" s="25" t="s">
        <v>35</v>
      </c>
      <c r="D82" s="133">
        <v>45798</v>
      </c>
      <c r="E82" s="82" t="s">
        <v>36</v>
      </c>
      <c r="F82" s="98" t="s">
        <v>88</v>
      </c>
      <c r="G82" s="99" t="s">
        <v>181</v>
      </c>
      <c r="H82" s="100">
        <v>1</v>
      </c>
      <c r="I82" s="101"/>
      <c r="J82" s="101">
        <v>45798.454861111109</v>
      </c>
      <c r="K82" s="102">
        <v>1</v>
      </c>
      <c r="L82" s="97" t="s">
        <v>182</v>
      </c>
      <c r="M82" s="97"/>
      <c r="N82" s="99"/>
      <c r="O82" s="24"/>
    </row>
    <row r="83" spans="1:15" ht="42.75" x14ac:dyDescent="0.25">
      <c r="A83" s="80">
        <f t="shared" si="1"/>
        <v>82</v>
      </c>
      <c r="B83" s="55" t="s">
        <v>180</v>
      </c>
      <c r="C83" s="25" t="s">
        <v>41</v>
      </c>
      <c r="D83" s="133">
        <v>45798</v>
      </c>
      <c r="E83" s="97" t="s">
        <v>46</v>
      </c>
      <c r="F83" s="98"/>
      <c r="G83" s="99" t="s">
        <v>183</v>
      </c>
      <c r="H83" s="100">
        <v>1</v>
      </c>
      <c r="I83" s="101"/>
      <c r="J83" s="101">
        <v>45798.874305555553</v>
      </c>
      <c r="K83" s="102"/>
      <c r="L83" s="97" t="s">
        <v>182</v>
      </c>
      <c r="M83" s="97"/>
      <c r="N83" s="99"/>
      <c r="O83" s="24"/>
    </row>
    <row r="84" spans="1:15" ht="15.75" x14ac:dyDescent="0.25">
      <c r="A84" s="80">
        <f t="shared" si="1"/>
        <v>83</v>
      </c>
      <c r="B84" s="50" t="s">
        <v>326</v>
      </c>
      <c r="C84" s="61" t="s">
        <v>35</v>
      </c>
      <c r="D84" s="126">
        <v>46176</v>
      </c>
      <c r="E84" s="82" t="s">
        <v>46</v>
      </c>
      <c r="F84" s="62"/>
      <c r="G84" s="46" t="s">
        <v>323</v>
      </c>
      <c r="H84" s="46"/>
      <c r="I84" s="46"/>
      <c r="J84" s="85"/>
      <c r="K84" s="106"/>
      <c r="L84" s="125" t="s">
        <v>327</v>
      </c>
      <c r="M84" s="106"/>
      <c r="N84" s="106"/>
      <c r="O84" s="106"/>
    </row>
    <row r="85" spans="1:15" ht="15.75" x14ac:dyDescent="0.25">
      <c r="A85" s="80">
        <f t="shared" si="1"/>
        <v>84</v>
      </c>
      <c r="B85" s="50" t="s">
        <v>326</v>
      </c>
      <c r="C85" s="61" t="s">
        <v>41</v>
      </c>
      <c r="D85" s="126">
        <v>46197</v>
      </c>
      <c r="E85" s="82" t="s">
        <v>36</v>
      </c>
      <c r="F85" s="62" t="s">
        <v>330</v>
      </c>
      <c r="G85" s="46" t="s">
        <v>331</v>
      </c>
      <c r="H85" s="46"/>
      <c r="I85" s="46"/>
      <c r="J85" s="85">
        <v>46197.588888888888</v>
      </c>
      <c r="K85" s="106"/>
      <c r="L85" s="125" t="s">
        <v>327</v>
      </c>
      <c r="M85" s="106"/>
      <c r="N85" s="106"/>
      <c r="O85" s="106"/>
    </row>
    <row r="86" spans="1:15" ht="15.75" x14ac:dyDescent="0.25">
      <c r="A86" s="80">
        <f t="shared" si="1"/>
        <v>85</v>
      </c>
      <c r="B86" s="53" t="s">
        <v>326</v>
      </c>
      <c r="C86" s="150" t="s">
        <v>45</v>
      </c>
      <c r="D86" s="151">
        <v>46198</v>
      </c>
      <c r="E86" s="89" t="s">
        <v>357</v>
      </c>
      <c r="F86" s="152" t="s">
        <v>333</v>
      </c>
      <c r="G86" s="153" t="s">
        <v>332</v>
      </c>
      <c r="H86" s="153"/>
      <c r="I86" s="153"/>
      <c r="J86" s="91"/>
      <c r="K86" s="154"/>
      <c r="L86" s="155" t="s">
        <v>327</v>
      </c>
      <c r="M86" s="106"/>
      <c r="N86" s="106"/>
      <c r="O86" s="106"/>
    </row>
    <row r="87" spans="1:15" ht="15.75" x14ac:dyDescent="0.25">
      <c r="A87" s="80">
        <f t="shared" si="1"/>
        <v>86</v>
      </c>
      <c r="B87" s="50" t="s">
        <v>326</v>
      </c>
      <c r="C87" s="61" t="s">
        <v>67</v>
      </c>
      <c r="D87" s="137">
        <v>46218</v>
      </c>
      <c r="E87" s="82" t="s">
        <v>46</v>
      </c>
      <c r="F87" s="62"/>
      <c r="G87" s="46" t="s">
        <v>348</v>
      </c>
      <c r="H87" s="46"/>
      <c r="I87" s="46"/>
      <c r="J87" s="85">
        <v>46218.501388888886</v>
      </c>
      <c r="K87" s="102">
        <v>1</v>
      </c>
      <c r="L87" s="125" t="s">
        <v>327</v>
      </c>
      <c r="M87" s="106"/>
      <c r="N87" s="106"/>
      <c r="O87" s="106"/>
    </row>
    <row r="88" spans="1:15" ht="15.75" x14ac:dyDescent="0.25">
      <c r="A88" s="80">
        <f t="shared" si="1"/>
        <v>87</v>
      </c>
      <c r="B88" s="50" t="s">
        <v>326</v>
      </c>
      <c r="C88" s="61" t="s">
        <v>70</v>
      </c>
      <c r="D88" s="137">
        <v>46220</v>
      </c>
      <c r="E88" s="82" t="s">
        <v>46</v>
      </c>
      <c r="F88" s="62"/>
      <c r="G88" s="46" t="s">
        <v>349</v>
      </c>
      <c r="H88" s="46"/>
      <c r="I88" s="46"/>
      <c r="J88" s="85">
        <v>46220.184027777781</v>
      </c>
      <c r="K88" s="102">
        <v>1</v>
      </c>
      <c r="L88" s="125" t="s">
        <v>327</v>
      </c>
      <c r="M88" s="106"/>
      <c r="N88" s="106"/>
      <c r="O88" s="106"/>
    </row>
    <row r="89" spans="1:15" ht="15.75" x14ac:dyDescent="0.25">
      <c r="A89" s="80">
        <f t="shared" si="1"/>
        <v>88</v>
      </c>
      <c r="B89" s="50" t="s">
        <v>326</v>
      </c>
      <c r="C89" s="61" t="s">
        <v>72</v>
      </c>
      <c r="D89" s="137">
        <v>46227</v>
      </c>
      <c r="E89" s="82" t="s">
        <v>46</v>
      </c>
      <c r="F89" s="62"/>
      <c r="G89" s="46" t="s">
        <v>360</v>
      </c>
      <c r="H89" s="46"/>
      <c r="I89" s="46"/>
      <c r="J89" s="85">
        <v>46220.184027777781</v>
      </c>
      <c r="K89" s="102">
        <v>1</v>
      </c>
      <c r="L89" s="125" t="s">
        <v>327</v>
      </c>
      <c r="M89" s="106"/>
      <c r="N89" s="106"/>
      <c r="O89" s="106"/>
    </row>
    <row r="90" spans="1:15" ht="15.75" x14ac:dyDescent="0.25">
      <c r="A90" s="80">
        <f t="shared" si="1"/>
        <v>89</v>
      </c>
      <c r="B90" s="50" t="s">
        <v>329</v>
      </c>
      <c r="C90" s="61" t="s">
        <v>35</v>
      </c>
      <c r="D90" s="126">
        <v>46189</v>
      </c>
      <c r="E90" s="82" t="s">
        <v>46</v>
      </c>
      <c r="F90" s="62"/>
      <c r="G90" s="46" t="s">
        <v>340</v>
      </c>
      <c r="H90" s="46"/>
      <c r="I90" s="46"/>
      <c r="J90" s="85"/>
      <c r="K90" s="106"/>
      <c r="L90" s="141" t="s">
        <v>339</v>
      </c>
      <c r="M90" s="106"/>
      <c r="N90" s="106"/>
      <c r="O90" s="106"/>
    </row>
    <row r="91" spans="1:15" ht="15.75" x14ac:dyDescent="0.25">
      <c r="A91" s="80">
        <f t="shared" si="1"/>
        <v>90</v>
      </c>
      <c r="B91" s="50" t="s">
        <v>329</v>
      </c>
      <c r="C91" s="61" t="s">
        <v>41</v>
      </c>
      <c r="D91" s="126">
        <v>46196</v>
      </c>
      <c r="E91" s="82" t="s">
        <v>46</v>
      </c>
      <c r="F91" s="62"/>
      <c r="G91" s="46" t="s">
        <v>340</v>
      </c>
      <c r="H91" s="46"/>
      <c r="I91" s="46"/>
      <c r="J91" s="85"/>
      <c r="K91" s="106"/>
      <c r="L91" s="141" t="s">
        <v>339</v>
      </c>
      <c r="M91" s="106"/>
      <c r="N91" s="106"/>
      <c r="O91" s="106"/>
    </row>
    <row r="92" spans="1:15" ht="15.75" x14ac:dyDescent="0.25">
      <c r="A92" s="80">
        <f t="shared" si="1"/>
        <v>91</v>
      </c>
      <c r="B92" s="50" t="s">
        <v>329</v>
      </c>
      <c r="C92" s="61" t="s">
        <v>45</v>
      </c>
      <c r="D92" s="126">
        <v>46204</v>
      </c>
      <c r="E92" s="82" t="s">
        <v>46</v>
      </c>
      <c r="F92" s="62"/>
      <c r="G92" s="143" t="s">
        <v>341</v>
      </c>
      <c r="H92" s="46"/>
      <c r="I92" s="46"/>
      <c r="J92" s="85"/>
      <c r="K92" s="106"/>
      <c r="L92" s="141" t="s">
        <v>339</v>
      </c>
      <c r="M92" s="106"/>
      <c r="N92" s="106"/>
      <c r="O92" s="106"/>
    </row>
    <row r="93" spans="1:15" ht="15.75" x14ac:dyDescent="0.25">
      <c r="A93" s="80">
        <f t="shared" si="1"/>
        <v>92</v>
      </c>
      <c r="B93" s="50" t="s">
        <v>329</v>
      </c>
      <c r="C93" s="61" t="s">
        <v>67</v>
      </c>
      <c r="D93" s="126">
        <v>46210</v>
      </c>
      <c r="E93" s="82" t="s">
        <v>36</v>
      </c>
      <c r="F93" s="62" t="s">
        <v>342</v>
      </c>
      <c r="G93" s="143"/>
      <c r="H93" s="46"/>
      <c r="I93" s="46"/>
      <c r="J93" s="85"/>
      <c r="K93" s="106"/>
      <c r="L93" s="141" t="s">
        <v>339</v>
      </c>
      <c r="M93" s="106"/>
      <c r="N93" s="106"/>
      <c r="O93" s="106"/>
    </row>
    <row r="94" spans="1:15" ht="15.75" x14ac:dyDescent="0.25">
      <c r="A94" s="80">
        <f t="shared" si="1"/>
        <v>93</v>
      </c>
      <c r="B94" s="50" t="s">
        <v>329</v>
      </c>
      <c r="C94" s="61" t="s">
        <v>70</v>
      </c>
      <c r="D94" s="126">
        <v>46213</v>
      </c>
      <c r="E94" s="82" t="s">
        <v>36</v>
      </c>
      <c r="F94" s="146" t="s">
        <v>88</v>
      </c>
      <c r="G94" s="145" t="s">
        <v>345</v>
      </c>
      <c r="H94" s="46"/>
      <c r="I94" s="46"/>
      <c r="J94" s="85"/>
      <c r="K94" s="102">
        <v>1</v>
      </c>
      <c r="L94" s="141" t="s">
        <v>339</v>
      </c>
      <c r="M94" s="106"/>
      <c r="N94" s="106"/>
      <c r="O94" s="106"/>
    </row>
    <row r="95" spans="1:15" ht="15.75" x14ac:dyDescent="0.25">
      <c r="A95" s="80">
        <f t="shared" si="1"/>
        <v>94</v>
      </c>
      <c r="B95" s="50" t="s">
        <v>329</v>
      </c>
      <c r="C95" s="61" t="s">
        <v>72</v>
      </c>
      <c r="D95" s="126">
        <v>46224</v>
      </c>
      <c r="E95" s="82" t="s">
        <v>46</v>
      </c>
      <c r="F95" s="62"/>
      <c r="G95" s="143" t="s">
        <v>359</v>
      </c>
      <c r="H95" s="46"/>
      <c r="I95" s="46"/>
      <c r="J95" s="85"/>
      <c r="K95" s="106"/>
      <c r="L95" s="141" t="s">
        <v>339</v>
      </c>
      <c r="M95" s="106"/>
      <c r="N95" s="106"/>
      <c r="O95" s="106"/>
    </row>
    <row r="96" spans="1:15" ht="15.75" x14ac:dyDescent="0.25">
      <c r="A96" s="80">
        <f t="shared" si="1"/>
        <v>95</v>
      </c>
      <c r="B96" s="50" t="s">
        <v>343</v>
      </c>
      <c r="C96" s="61" t="s">
        <v>35</v>
      </c>
      <c r="D96" s="126">
        <v>46212</v>
      </c>
      <c r="E96" s="82" t="s">
        <v>46</v>
      </c>
      <c r="F96" s="81"/>
      <c r="G96" s="83"/>
      <c r="H96" s="46"/>
      <c r="I96" s="46"/>
      <c r="J96" s="85"/>
      <c r="K96" s="106"/>
      <c r="L96" s="144" t="s">
        <v>344</v>
      </c>
      <c r="M96" s="106"/>
      <c r="N96" s="106"/>
      <c r="O96" s="106"/>
    </row>
    <row r="97" spans="1:15" ht="28.5" x14ac:dyDescent="0.25">
      <c r="A97" s="80">
        <f t="shared" si="1"/>
        <v>96</v>
      </c>
      <c r="B97" s="50" t="s">
        <v>343</v>
      </c>
      <c r="C97" s="61" t="s">
        <v>41</v>
      </c>
      <c r="D97" s="126">
        <v>46217</v>
      </c>
      <c r="E97" s="82" t="s">
        <v>36</v>
      </c>
      <c r="F97" s="146" t="s">
        <v>347</v>
      </c>
      <c r="G97" s="147" t="s">
        <v>346</v>
      </c>
      <c r="H97" s="46"/>
      <c r="I97" s="46"/>
      <c r="J97" s="85"/>
      <c r="K97" s="106"/>
      <c r="L97" s="144" t="s">
        <v>344</v>
      </c>
      <c r="M97" s="106"/>
      <c r="N97" s="106"/>
      <c r="O97" s="106"/>
    </row>
    <row r="98" spans="1:15" ht="15.75" x14ac:dyDescent="0.25">
      <c r="A98" s="80">
        <f t="shared" si="1"/>
        <v>97</v>
      </c>
      <c r="B98" s="50" t="s">
        <v>324</v>
      </c>
      <c r="C98" s="61" t="s">
        <v>35</v>
      </c>
      <c r="D98" s="126">
        <v>46155</v>
      </c>
      <c r="E98" s="82" t="s">
        <v>46</v>
      </c>
      <c r="F98" s="62"/>
      <c r="G98" s="46"/>
      <c r="H98" s="46"/>
      <c r="I98" s="46"/>
      <c r="J98" s="85"/>
      <c r="K98" s="106"/>
      <c r="L98" s="115" t="s">
        <v>318</v>
      </c>
      <c r="M98" s="106"/>
      <c r="N98" s="106"/>
      <c r="O98" s="106"/>
    </row>
    <row r="99" spans="1:15" ht="15.75" x14ac:dyDescent="0.25">
      <c r="A99" s="80">
        <f t="shared" si="1"/>
        <v>98</v>
      </c>
      <c r="B99" s="50" t="s">
        <v>324</v>
      </c>
      <c r="C99" s="61" t="s">
        <v>41</v>
      </c>
      <c r="D99" s="126">
        <v>46156</v>
      </c>
      <c r="E99" s="82" t="s">
        <v>46</v>
      </c>
      <c r="F99" s="62"/>
      <c r="G99" s="46"/>
      <c r="H99" s="46"/>
      <c r="I99" s="46"/>
      <c r="J99" s="85"/>
      <c r="K99" s="106"/>
      <c r="L99" s="115" t="s">
        <v>318</v>
      </c>
      <c r="M99" s="106"/>
      <c r="N99" s="106"/>
      <c r="O99" s="106"/>
    </row>
    <row r="100" spans="1:15" ht="15.75" x14ac:dyDescent="0.25">
      <c r="A100" s="80">
        <f t="shared" si="1"/>
        <v>99</v>
      </c>
      <c r="B100" s="77" t="s">
        <v>324</v>
      </c>
      <c r="C100" s="124" t="s">
        <v>45</v>
      </c>
      <c r="D100" s="126">
        <v>46183</v>
      </c>
      <c r="E100" s="75" t="s">
        <v>46</v>
      </c>
      <c r="F100" s="62"/>
      <c r="G100" s="46" t="s">
        <v>325</v>
      </c>
      <c r="H100" s="46"/>
      <c r="I100" s="46"/>
      <c r="J100" s="78"/>
      <c r="K100" s="121"/>
      <c r="L100" s="121" t="s">
        <v>318</v>
      </c>
      <c r="M100" s="121"/>
      <c r="N100" s="121"/>
      <c r="O100" s="121"/>
    </row>
    <row r="101" spans="1:15" ht="15.75" x14ac:dyDescent="0.25">
      <c r="A101" s="80">
        <f t="shared" si="1"/>
        <v>100</v>
      </c>
      <c r="B101" s="77" t="s">
        <v>324</v>
      </c>
      <c r="C101" s="124" t="s">
        <v>67</v>
      </c>
      <c r="D101" s="126">
        <v>46185</v>
      </c>
      <c r="E101" s="75" t="s">
        <v>46</v>
      </c>
      <c r="F101" s="62"/>
      <c r="G101" s="46"/>
      <c r="H101" s="46"/>
      <c r="I101" s="46"/>
      <c r="J101" s="78"/>
      <c r="K101" s="121"/>
      <c r="L101" s="121" t="s">
        <v>318</v>
      </c>
      <c r="M101" s="121"/>
      <c r="N101" s="121"/>
      <c r="O101" s="121"/>
    </row>
    <row r="102" spans="1:15" ht="15.75" x14ac:dyDescent="0.25">
      <c r="A102" s="80">
        <f t="shared" si="1"/>
        <v>101</v>
      </c>
      <c r="B102" s="50" t="s">
        <v>184</v>
      </c>
      <c r="C102" s="61" t="s">
        <v>35</v>
      </c>
      <c r="D102" s="126">
        <v>46091</v>
      </c>
      <c r="E102" s="82" t="s">
        <v>36</v>
      </c>
      <c r="F102" s="62" t="s">
        <v>56</v>
      </c>
      <c r="G102" s="46" t="s">
        <v>185</v>
      </c>
      <c r="H102" s="46"/>
      <c r="I102" s="46"/>
      <c r="J102" s="85"/>
      <c r="K102" s="106"/>
      <c r="L102" s="114" t="s">
        <v>314</v>
      </c>
      <c r="M102" s="106"/>
      <c r="N102" s="106"/>
      <c r="O102" s="106"/>
    </row>
    <row r="103" spans="1:15" ht="15.75" x14ac:dyDescent="0.25">
      <c r="A103" s="80">
        <f t="shared" si="1"/>
        <v>102</v>
      </c>
      <c r="B103" s="50" t="s">
        <v>184</v>
      </c>
      <c r="C103" s="70" t="s">
        <v>41</v>
      </c>
      <c r="D103" s="126">
        <v>46099</v>
      </c>
      <c r="E103" s="82" t="s">
        <v>46</v>
      </c>
      <c r="F103" s="71"/>
      <c r="G103" s="72" t="s">
        <v>187</v>
      </c>
      <c r="H103" s="73">
        <v>1</v>
      </c>
      <c r="I103" s="71"/>
      <c r="J103" s="85">
        <v>46099.9375</v>
      </c>
      <c r="K103" s="74"/>
      <c r="L103" s="114" t="s">
        <v>314</v>
      </c>
      <c r="M103" s="75"/>
      <c r="N103" s="72"/>
      <c r="O103" s="76"/>
    </row>
    <row r="104" spans="1:15" ht="15.75" x14ac:dyDescent="0.25">
      <c r="A104" s="80">
        <f t="shared" si="1"/>
        <v>103</v>
      </c>
      <c r="B104" s="50" t="s">
        <v>184</v>
      </c>
      <c r="C104" s="70" t="s">
        <v>45</v>
      </c>
      <c r="D104" s="126">
        <v>46106</v>
      </c>
      <c r="E104" s="82" t="s">
        <v>46</v>
      </c>
      <c r="F104" s="71"/>
      <c r="G104" s="72"/>
      <c r="H104" s="73"/>
      <c r="I104" s="71"/>
      <c r="J104" s="85"/>
      <c r="K104" s="74"/>
      <c r="L104" s="114" t="s">
        <v>314</v>
      </c>
      <c r="M104" s="75"/>
      <c r="N104" s="72"/>
      <c r="O104" s="76"/>
    </row>
    <row r="105" spans="1:15" ht="15.75" x14ac:dyDescent="0.25">
      <c r="A105" s="80">
        <f t="shared" si="1"/>
        <v>104</v>
      </c>
      <c r="B105" s="55" t="s">
        <v>188</v>
      </c>
      <c r="C105" s="60" t="s">
        <v>35</v>
      </c>
      <c r="D105" s="133">
        <v>46086</v>
      </c>
      <c r="E105" s="97" t="s">
        <v>46</v>
      </c>
      <c r="F105" s="59"/>
      <c r="G105" s="45" t="s">
        <v>189</v>
      </c>
      <c r="H105" s="45">
        <v>1</v>
      </c>
      <c r="I105" s="45"/>
      <c r="J105" s="101">
        <v>46087.736805555556</v>
      </c>
      <c r="K105" s="107"/>
      <c r="L105" s="107" t="s">
        <v>186</v>
      </c>
      <c r="M105" s="106"/>
      <c r="N105" s="106"/>
      <c r="O105" s="106"/>
    </row>
    <row r="106" spans="1:15" ht="15.75" x14ac:dyDescent="0.25">
      <c r="A106" s="80">
        <f t="shared" si="1"/>
        <v>105</v>
      </c>
      <c r="B106" s="50" t="s">
        <v>190</v>
      </c>
      <c r="C106" s="70" t="s">
        <v>35</v>
      </c>
      <c r="D106" s="126">
        <v>46100</v>
      </c>
      <c r="E106" s="82" t="s">
        <v>46</v>
      </c>
      <c r="F106" s="71"/>
      <c r="G106" s="72"/>
      <c r="H106" s="73"/>
      <c r="I106" s="71"/>
      <c r="J106" s="85"/>
      <c r="K106" s="74"/>
      <c r="L106" s="114" t="s">
        <v>313</v>
      </c>
      <c r="M106" s="75"/>
      <c r="N106" s="72"/>
      <c r="O106" s="76"/>
    </row>
    <row r="107" spans="1:15" ht="15.75" x14ac:dyDescent="0.25">
      <c r="A107" s="80">
        <f t="shared" si="1"/>
        <v>106</v>
      </c>
      <c r="B107" s="50" t="s">
        <v>190</v>
      </c>
      <c r="C107" s="70" t="s">
        <v>41</v>
      </c>
      <c r="D107" s="126">
        <v>46105</v>
      </c>
      <c r="E107" s="82" t="s">
        <v>46</v>
      </c>
      <c r="F107" s="71"/>
      <c r="G107" s="72"/>
      <c r="H107" s="73"/>
      <c r="I107" s="71"/>
      <c r="J107" s="85"/>
      <c r="K107" s="74"/>
      <c r="L107" s="114" t="s">
        <v>313</v>
      </c>
      <c r="M107" s="75"/>
      <c r="N107" s="72"/>
      <c r="O107" s="76"/>
    </row>
    <row r="108" spans="1:15" ht="15.75" x14ac:dyDescent="0.25">
      <c r="A108" s="80">
        <f t="shared" si="1"/>
        <v>107</v>
      </c>
      <c r="B108" s="77" t="s">
        <v>191</v>
      </c>
      <c r="C108" s="70" t="s">
        <v>35</v>
      </c>
      <c r="D108" s="126">
        <v>46120</v>
      </c>
      <c r="E108" s="82" t="s">
        <v>36</v>
      </c>
      <c r="F108" s="71" t="s">
        <v>316</v>
      </c>
      <c r="G108" s="79" t="s">
        <v>192</v>
      </c>
      <c r="H108" s="73"/>
      <c r="I108" s="71"/>
      <c r="J108" s="78">
        <v>46120.564583333333</v>
      </c>
      <c r="K108" s="74"/>
      <c r="L108" s="121" t="s">
        <v>319</v>
      </c>
      <c r="M108" s="75"/>
      <c r="N108" s="72"/>
      <c r="O108" s="76"/>
    </row>
    <row r="109" spans="1:15" ht="15.75" x14ac:dyDescent="0.25">
      <c r="A109" s="80">
        <f t="shared" si="1"/>
        <v>108</v>
      </c>
      <c r="B109" s="77" t="s">
        <v>191</v>
      </c>
      <c r="C109" s="70" t="s">
        <v>41</v>
      </c>
      <c r="D109" s="126">
        <v>46126</v>
      </c>
      <c r="E109" s="75" t="s">
        <v>46</v>
      </c>
      <c r="F109" s="71"/>
      <c r="G109" s="79"/>
      <c r="H109" s="73"/>
      <c r="I109" s="71"/>
      <c r="J109" s="78"/>
      <c r="K109" s="74"/>
      <c r="L109" s="121" t="s">
        <v>319</v>
      </c>
      <c r="M109" s="75"/>
      <c r="N109" s="72"/>
      <c r="O109" s="76"/>
    </row>
    <row r="110" spans="1:15" ht="15.75" x14ac:dyDescent="0.25">
      <c r="A110" s="80">
        <f t="shared" si="1"/>
        <v>109</v>
      </c>
      <c r="B110" s="77" t="s">
        <v>193</v>
      </c>
      <c r="C110" s="70" t="s">
        <v>35</v>
      </c>
      <c r="D110" s="126">
        <v>46121</v>
      </c>
      <c r="E110" s="75" t="s">
        <v>46</v>
      </c>
      <c r="F110" s="71"/>
      <c r="G110" s="72"/>
      <c r="H110" s="73"/>
      <c r="I110" s="71"/>
      <c r="J110" s="78"/>
      <c r="K110" s="74"/>
      <c r="L110" s="121" t="s">
        <v>320</v>
      </c>
      <c r="M110" s="75"/>
      <c r="N110" s="72"/>
      <c r="O110" s="76"/>
    </row>
    <row r="111" spans="1:15" ht="15.75" x14ac:dyDescent="0.25">
      <c r="A111" s="80">
        <f t="shared" si="1"/>
        <v>110</v>
      </c>
      <c r="B111" s="50" t="s">
        <v>193</v>
      </c>
      <c r="C111" s="17" t="s">
        <v>41</v>
      </c>
      <c r="D111" s="126">
        <v>46127</v>
      </c>
      <c r="E111" s="75" t="s">
        <v>46</v>
      </c>
      <c r="F111" s="122" t="s">
        <v>315</v>
      </c>
      <c r="G111" s="123" t="s">
        <v>317</v>
      </c>
      <c r="H111" s="73"/>
      <c r="I111" s="71"/>
      <c r="J111" s="78"/>
      <c r="K111" s="74"/>
      <c r="L111" s="121" t="s">
        <v>320</v>
      </c>
      <c r="M111" s="75"/>
      <c r="N111" s="72"/>
      <c r="O111" s="76"/>
    </row>
    <row r="112" spans="1:15" ht="15.75" x14ac:dyDescent="0.25">
      <c r="A112" s="80">
        <f t="shared" si="1"/>
        <v>111</v>
      </c>
      <c r="B112" s="51" t="s">
        <v>194</v>
      </c>
      <c r="C112" s="18">
        <v>13</v>
      </c>
      <c r="D112" s="126">
        <v>45351</v>
      </c>
      <c r="E112" s="82" t="s">
        <v>46</v>
      </c>
      <c r="F112" s="81"/>
      <c r="G112" s="84"/>
      <c r="H112" s="84"/>
      <c r="I112" s="85"/>
      <c r="J112" s="85"/>
      <c r="K112" s="86"/>
      <c r="L112" s="82" t="s">
        <v>195</v>
      </c>
      <c r="M112" s="82"/>
      <c r="N112" s="83"/>
      <c r="O112" s="4" t="s">
        <v>196</v>
      </c>
    </row>
    <row r="113" spans="1:15" ht="15.75" x14ac:dyDescent="0.25">
      <c r="A113" s="80">
        <f t="shared" si="1"/>
        <v>112</v>
      </c>
      <c r="B113" s="51" t="s">
        <v>194</v>
      </c>
      <c r="C113" s="18">
        <v>14</v>
      </c>
      <c r="D113" s="126">
        <v>45351</v>
      </c>
      <c r="E113" s="82" t="s">
        <v>46</v>
      </c>
      <c r="F113" s="81"/>
      <c r="G113" s="84"/>
      <c r="H113" s="84"/>
      <c r="I113" s="85"/>
      <c r="J113" s="85"/>
      <c r="K113" s="86"/>
      <c r="L113" s="82" t="s">
        <v>195</v>
      </c>
      <c r="M113" s="82"/>
      <c r="N113" s="83"/>
      <c r="O113" s="4" t="s">
        <v>196</v>
      </c>
    </row>
    <row r="114" spans="1:15" ht="28.5" x14ac:dyDescent="0.25">
      <c r="A114" s="80">
        <f t="shared" si="1"/>
        <v>113</v>
      </c>
      <c r="B114" s="51" t="s">
        <v>194</v>
      </c>
      <c r="C114" s="18">
        <v>16</v>
      </c>
      <c r="D114" s="126">
        <v>45352</v>
      </c>
      <c r="E114" s="82" t="s">
        <v>46</v>
      </c>
      <c r="F114" s="81"/>
      <c r="G114" s="158" t="s">
        <v>361</v>
      </c>
      <c r="H114" s="84"/>
      <c r="I114" s="85"/>
      <c r="J114" s="85"/>
      <c r="K114" s="86"/>
      <c r="L114" s="82" t="s">
        <v>195</v>
      </c>
      <c r="M114" s="82"/>
      <c r="N114" s="83"/>
      <c r="O114" s="4" t="s">
        <v>196</v>
      </c>
    </row>
    <row r="115" spans="1:15" ht="15.75" x14ac:dyDescent="0.25">
      <c r="A115" s="80">
        <f t="shared" si="1"/>
        <v>114</v>
      </c>
      <c r="B115" s="51" t="s">
        <v>194</v>
      </c>
      <c r="C115" s="18">
        <v>17</v>
      </c>
      <c r="D115" s="126">
        <v>45358</v>
      </c>
      <c r="E115" s="82" t="s">
        <v>46</v>
      </c>
      <c r="F115" s="81"/>
      <c r="G115" s="83"/>
      <c r="H115" s="84"/>
      <c r="I115" s="85"/>
      <c r="J115" s="85"/>
      <c r="K115" s="86"/>
      <c r="L115" s="82" t="s">
        <v>195</v>
      </c>
      <c r="M115" s="82"/>
      <c r="N115" s="83"/>
      <c r="O115" s="4" t="s">
        <v>196</v>
      </c>
    </row>
    <row r="116" spans="1:15" ht="15.75" x14ac:dyDescent="0.25">
      <c r="A116" s="80">
        <f t="shared" si="1"/>
        <v>115</v>
      </c>
      <c r="B116" s="51" t="s">
        <v>194</v>
      </c>
      <c r="C116" s="18">
        <v>19</v>
      </c>
      <c r="D116" s="126">
        <v>45359</v>
      </c>
      <c r="E116" s="82" t="s">
        <v>46</v>
      </c>
      <c r="F116" s="81"/>
      <c r="G116" s="5"/>
      <c r="H116" s="15"/>
      <c r="I116" s="85"/>
      <c r="J116" s="85"/>
      <c r="K116" s="86"/>
      <c r="L116" s="82" t="s">
        <v>195</v>
      </c>
      <c r="M116" s="82"/>
      <c r="N116" s="83"/>
      <c r="O116" s="4" t="s">
        <v>196</v>
      </c>
    </row>
    <row r="117" spans="1:15" ht="15.75" x14ac:dyDescent="0.25">
      <c r="A117" s="80">
        <f t="shared" si="1"/>
        <v>116</v>
      </c>
      <c r="B117" s="51" t="s">
        <v>194</v>
      </c>
      <c r="C117" s="18">
        <v>22</v>
      </c>
      <c r="D117" s="126">
        <v>45366</v>
      </c>
      <c r="E117" s="82" t="s">
        <v>46</v>
      </c>
      <c r="F117" s="81"/>
      <c r="G117" s="83"/>
      <c r="H117" s="84"/>
      <c r="I117" s="85"/>
      <c r="J117" s="85"/>
      <c r="K117" s="86"/>
      <c r="L117" s="82" t="s">
        <v>195</v>
      </c>
      <c r="M117" s="82"/>
      <c r="N117" s="83"/>
      <c r="O117" s="4" t="s">
        <v>196</v>
      </c>
    </row>
    <row r="118" spans="1:15" ht="15.75" x14ac:dyDescent="0.25">
      <c r="A118" s="80">
        <f t="shared" si="1"/>
        <v>117</v>
      </c>
      <c r="B118" s="51" t="s">
        <v>194</v>
      </c>
      <c r="C118" s="18">
        <v>23</v>
      </c>
      <c r="D118" s="126">
        <v>45373</v>
      </c>
      <c r="E118" s="82" t="s">
        <v>46</v>
      </c>
      <c r="F118" s="81"/>
      <c r="G118" s="83"/>
      <c r="H118" s="84"/>
      <c r="I118" s="85"/>
      <c r="J118" s="85"/>
      <c r="K118" s="86"/>
      <c r="L118" s="82" t="s">
        <v>195</v>
      </c>
      <c r="M118" s="82"/>
      <c r="N118" s="83"/>
      <c r="O118" s="4" t="s">
        <v>196</v>
      </c>
    </row>
    <row r="119" spans="1:15" ht="28.5" x14ac:dyDescent="0.25">
      <c r="A119" s="80">
        <f t="shared" si="1"/>
        <v>118</v>
      </c>
      <c r="B119" s="116" t="s">
        <v>194</v>
      </c>
      <c r="C119" s="117" t="s">
        <v>233</v>
      </c>
      <c r="D119" s="127">
        <v>45384</v>
      </c>
      <c r="E119" s="119" t="s">
        <v>321</v>
      </c>
      <c r="F119" s="118"/>
      <c r="G119" s="159" t="s">
        <v>322</v>
      </c>
      <c r="H119" s="73"/>
      <c r="I119" s="78"/>
      <c r="J119" s="78"/>
      <c r="K119" s="74"/>
      <c r="L119" s="75" t="s">
        <v>195</v>
      </c>
      <c r="M119" s="75"/>
      <c r="N119" s="72"/>
      <c r="O119" s="120" t="s">
        <v>196</v>
      </c>
    </row>
    <row r="120" spans="1:15" ht="15.75" x14ac:dyDescent="0.25">
      <c r="A120" s="80">
        <f t="shared" si="1"/>
        <v>119</v>
      </c>
      <c r="B120" s="51" t="s">
        <v>194</v>
      </c>
      <c r="C120" s="18">
        <v>25</v>
      </c>
      <c r="D120" s="126">
        <v>45384</v>
      </c>
      <c r="E120" s="82" t="s">
        <v>46</v>
      </c>
      <c r="F120" s="81"/>
      <c r="G120" s="83"/>
      <c r="H120" s="84"/>
      <c r="I120" s="85"/>
      <c r="J120" s="85"/>
      <c r="K120" s="86"/>
      <c r="L120" s="82" t="s">
        <v>195</v>
      </c>
      <c r="M120" s="82"/>
      <c r="N120" s="83"/>
      <c r="O120" s="4" t="s">
        <v>196</v>
      </c>
    </row>
    <row r="121" spans="1:15" ht="15.75" x14ac:dyDescent="0.25">
      <c r="A121" s="80">
        <f t="shared" si="1"/>
        <v>120</v>
      </c>
      <c r="B121" s="51" t="s">
        <v>194</v>
      </c>
      <c r="C121" s="18">
        <v>26</v>
      </c>
      <c r="D121" s="126">
        <v>45387</v>
      </c>
      <c r="E121" s="82" t="s">
        <v>46</v>
      </c>
      <c r="F121" s="81"/>
      <c r="G121" s="83"/>
      <c r="H121" s="84"/>
      <c r="I121" s="85"/>
      <c r="J121" s="85"/>
      <c r="K121" s="86"/>
      <c r="L121" s="82" t="s">
        <v>195</v>
      </c>
      <c r="M121" s="82"/>
      <c r="N121" s="83"/>
      <c r="O121" s="4" t="s">
        <v>196</v>
      </c>
    </row>
    <row r="122" spans="1:15" ht="42.75" x14ac:dyDescent="0.25">
      <c r="A122" s="80">
        <f t="shared" si="1"/>
        <v>121</v>
      </c>
      <c r="B122" s="52" t="s">
        <v>194</v>
      </c>
      <c r="C122" s="21">
        <v>27</v>
      </c>
      <c r="D122" s="127">
        <v>45387</v>
      </c>
      <c r="E122" s="89" t="s">
        <v>46</v>
      </c>
      <c r="F122" s="88"/>
      <c r="G122" s="156" t="s">
        <v>358</v>
      </c>
      <c r="H122" s="84"/>
      <c r="I122" s="85"/>
      <c r="J122" s="85"/>
      <c r="K122" s="86"/>
      <c r="L122" s="82" t="s">
        <v>195</v>
      </c>
      <c r="M122" s="82"/>
      <c r="N122" s="83"/>
      <c r="O122" s="4" t="s">
        <v>196</v>
      </c>
    </row>
    <row r="123" spans="1:15" ht="15.75" x14ac:dyDescent="0.25">
      <c r="A123" s="80">
        <f t="shared" si="1"/>
        <v>122</v>
      </c>
      <c r="B123" s="51" t="s">
        <v>194</v>
      </c>
      <c r="C123" s="18">
        <v>28</v>
      </c>
      <c r="D123" s="126">
        <v>45700</v>
      </c>
      <c r="E123" s="82" t="s">
        <v>36</v>
      </c>
      <c r="F123" s="81" t="s">
        <v>42</v>
      </c>
      <c r="G123" s="83" t="s">
        <v>88</v>
      </c>
      <c r="H123" s="84"/>
      <c r="I123" s="85">
        <v>45700.342361111114</v>
      </c>
      <c r="J123" s="85">
        <v>45700.415277777778</v>
      </c>
      <c r="K123" s="86">
        <v>1</v>
      </c>
      <c r="L123" s="82" t="s">
        <v>195</v>
      </c>
      <c r="M123" s="82"/>
      <c r="N123" s="83"/>
      <c r="O123" s="4" t="s">
        <v>196</v>
      </c>
    </row>
    <row r="124" spans="1:15" ht="15.75" x14ac:dyDescent="0.25">
      <c r="A124" s="80">
        <f t="shared" si="1"/>
        <v>123</v>
      </c>
      <c r="B124" s="51" t="s">
        <v>194</v>
      </c>
      <c r="C124" s="18">
        <v>29</v>
      </c>
      <c r="D124" s="126">
        <v>45702</v>
      </c>
      <c r="E124" s="82" t="s">
        <v>46</v>
      </c>
      <c r="F124" s="6"/>
      <c r="G124" s="83" t="s">
        <v>197</v>
      </c>
      <c r="H124" s="84"/>
      <c r="I124" s="85"/>
      <c r="J124" s="85"/>
      <c r="K124" s="86"/>
      <c r="L124" s="82" t="s">
        <v>195</v>
      </c>
      <c r="M124" s="82"/>
      <c r="N124" s="83"/>
      <c r="O124" s="4" t="s">
        <v>196</v>
      </c>
    </row>
    <row r="125" spans="1:15" ht="15.75" x14ac:dyDescent="0.25">
      <c r="A125" s="80">
        <f t="shared" si="1"/>
        <v>124</v>
      </c>
      <c r="B125" s="51" t="s">
        <v>194</v>
      </c>
      <c r="C125" s="19">
        <v>30</v>
      </c>
      <c r="D125" s="126">
        <v>45727</v>
      </c>
      <c r="E125" s="82" t="s">
        <v>36</v>
      </c>
      <c r="F125" s="81" t="s">
        <v>42</v>
      </c>
      <c r="G125" s="7" t="s">
        <v>198</v>
      </c>
      <c r="H125" s="7"/>
      <c r="I125" s="85">
        <v>45726.355555555558</v>
      </c>
      <c r="J125" s="85">
        <v>45726.448611111111</v>
      </c>
      <c r="K125" s="86">
        <v>1</v>
      </c>
      <c r="L125" s="82" t="s">
        <v>195</v>
      </c>
      <c r="M125" s="82"/>
      <c r="N125" s="83"/>
      <c r="O125" s="4" t="s">
        <v>196</v>
      </c>
    </row>
    <row r="126" spans="1:15" ht="15.75" x14ac:dyDescent="0.25">
      <c r="A126" s="80">
        <f t="shared" si="1"/>
        <v>125</v>
      </c>
      <c r="B126" s="51" t="s">
        <v>194</v>
      </c>
      <c r="C126" s="19">
        <v>31</v>
      </c>
      <c r="D126" s="126">
        <v>45728</v>
      </c>
      <c r="E126" s="82" t="s">
        <v>46</v>
      </c>
      <c r="F126" s="81"/>
      <c r="G126" s="83" t="s">
        <v>199</v>
      </c>
      <c r="H126" s="84"/>
      <c r="I126" s="85"/>
      <c r="J126" s="85"/>
      <c r="K126" s="86"/>
      <c r="L126" s="82" t="s">
        <v>195</v>
      </c>
      <c r="M126" s="82"/>
      <c r="N126" s="83"/>
      <c r="O126" s="4" t="s">
        <v>196</v>
      </c>
    </row>
    <row r="127" spans="1:15" ht="15.75" x14ac:dyDescent="0.25">
      <c r="A127" s="80">
        <f t="shared" si="1"/>
        <v>126</v>
      </c>
      <c r="B127" s="51" t="s">
        <v>194</v>
      </c>
      <c r="C127" s="19">
        <v>32</v>
      </c>
      <c r="D127" s="126">
        <v>45729</v>
      </c>
      <c r="E127" s="82" t="s">
        <v>46</v>
      </c>
      <c r="F127" s="81"/>
      <c r="G127" s="83"/>
      <c r="H127" s="84"/>
      <c r="I127" s="85"/>
      <c r="J127" s="85"/>
      <c r="K127" s="86"/>
      <c r="L127" s="82" t="s">
        <v>195</v>
      </c>
      <c r="M127" s="82"/>
      <c r="N127" s="83"/>
      <c r="O127" s="4" t="s">
        <v>196</v>
      </c>
    </row>
    <row r="128" spans="1:15" ht="15.75" x14ac:dyDescent="0.25">
      <c r="A128" s="80">
        <f t="shared" si="1"/>
        <v>127</v>
      </c>
      <c r="B128" s="51" t="s">
        <v>194</v>
      </c>
      <c r="C128" s="19">
        <v>33</v>
      </c>
      <c r="D128" s="126">
        <v>45729</v>
      </c>
      <c r="E128" s="82" t="s">
        <v>36</v>
      </c>
      <c r="F128" s="81" t="s">
        <v>42</v>
      </c>
      <c r="G128" s="83" t="s">
        <v>88</v>
      </c>
      <c r="H128" s="84"/>
      <c r="I128" s="85">
        <v>45729.370833333334</v>
      </c>
      <c r="J128" s="85">
        <v>45729.452777777777</v>
      </c>
      <c r="K128" s="86">
        <v>1</v>
      </c>
      <c r="L128" s="82" t="s">
        <v>195</v>
      </c>
      <c r="M128" s="82"/>
      <c r="N128" s="83"/>
      <c r="O128" s="4" t="s">
        <v>196</v>
      </c>
    </row>
    <row r="129" spans="1:15" ht="15.75" x14ac:dyDescent="0.25">
      <c r="A129" s="80">
        <f t="shared" si="1"/>
        <v>128</v>
      </c>
      <c r="B129" s="51" t="s">
        <v>194</v>
      </c>
      <c r="C129" s="19">
        <v>34</v>
      </c>
      <c r="D129" s="126">
        <v>45735</v>
      </c>
      <c r="E129" s="82" t="s">
        <v>46</v>
      </c>
      <c r="F129" s="81"/>
      <c r="G129" s="83"/>
      <c r="H129" s="84"/>
      <c r="I129" s="85"/>
      <c r="J129" s="85"/>
      <c r="K129" s="86"/>
      <c r="L129" s="82" t="s">
        <v>195</v>
      </c>
      <c r="M129" s="82"/>
      <c r="N129" s="83"/>
      <c r="O129" s="4" t="s">
        <v>196</v>
      </c>
    </row>
    <row r="130" spans="1:15" ht="15.75" x14ac:dyDescent="0.25">
      <c r="A130" s="80">
        <f t="shared" si="1"/>
        <v>129</v>
      </c>
      <c r="B130" s="51" t="s">
        <v>194</v>
      </c>
      <c r="C130" s="19">
        <v>35</v>
      </c>
      <c r="D130" s="126">
        <v>45735</v>
      </c>
      <c r="E130" s="82" t="s">
        <v>46</v>
      </c>
      <c r="F130" s="81"/>
      <c r="G130" s="83" t="s">
        <v>200</v>
      </c>
      <c r="H130" s="84"/>
      <c r="I130" s="85"/>
      <c r="J130" s="85"/>
      <c r="K130" s="86"/>
      <c r="L130" s="82" t="s">
        <v>195</v>
      </c>
      <c r="M130" s="82"/>
      <c r="N130" s="83"/>
      <c r="O130" s="4" t="s">
        <v>196</v>
      </c>
    </row>
    <row r="131" spans="1:15" ht="28.5" x14ac:dyDescent="0.25">
      <c r="A131" s="80">
        <f t="shared" si="1"/>
        <v>130</v>
      </c>
      <c r="B131" s="51" t="s">
        <v>194</v>
      </c>
      <c r="C131" s="19">
        <v>36</v>
      </c>
      <c r="D131" s="131">
        <v>45736</v>
      </c>
      <c r="E131" s="82" t="s">
        <v>36</v>
      </c>
      <c r="F131" s="81" t="s">
        <v>201</v>
      </c>
      <c r="G131" s="83" t="s">
        <v>202</v>
      </c>
      <c r="H131" s="84"/>
      <c r="I131" s="81"/>
      <c r="J131" s="85"/>
      <c r="K131" s="86"/>
      <c r="L131" s="81" t="s">
        <v>195</v>
      </c>
      <c r="M131" s="82"/>
      <c r="N131" s="83"/>
      <c r="O131" s="4" t="s">
        <v>196</v>
      </c>
    </row>
    <row r="132" spans="1:15" ht="15.75" x14ac:dyDescent="0.25">
      <c r="A132" s="80">
        <f t="shared" si="1"/>
        <v>131</v>
      </c>
      <c r="B132" s="51" t="s">
        <v>194</v>
      </c>
      <c r="C132" s="19">
        <v>37</v>
      </c>
      <c r="D132" s="131">
        <v>45741</v>
      </c>
      <c r="E132" s="82" t="s">
        <v>46</v>
      </c>
      <c r="F132" s="81"/>
      <c r="G132" s="83"/>
      <c r="H132" s="84"/>
      <c r="I132" s="81"/>
      <c r="J132" s="85"/>
      <c r="K132" s="86"/>
      <c r="L132" s="81" t="s">
        <v>195</v>
      </c>
      <c r="M132" s="82"/>
      <c r="N132" s="83"/>
      <c r="O132" s="4" t="s">
        <v>196</v>
      </c>
    </row>
    <row r="133" spans="1:15" ht="15.75" x14ac:dyDescent="0.25">
      <c r="A133" s="80">
        <f t="shared" si="1"/>
        <v>132</v>
      </c>
      <c r="B133" s="51" t="s">
        <v>194</v>
      </c>
      <c r="C133" s="19">
        <v>38</v>
      </c>
      <c r="D133" s="126">
        <v>45741</v>
      </c>
      <c r="E133" s="82" t="s">
        <v>46</v>
      </c>
      <c r="F133" s="81"/>
      <c r="G133" s="83"/>
      <c r="H133" s="84"/>
      <c r="I133" s="85"/>
      <c r="J133" s="85"/>
      <c r="K133" s="86"/>
      <c r="L133" s="82" t="s">
        <v>195</v>
      </c>
      <c r="M133" s="82"/>
      <c r="N133" s="83"/>
      <c r="O133" s="4" t="s">
        <v>196</v>
      </c>
    </row>
    <row r="134" spans="1:15" ht="15.75" x14ac:dyDescent="0.25">
      <c r="A134" s="80">
        <f t="shared" si="1"/>
        <v>133</v>
      </c>
      <c r="B134" s="41" t="s">
        <v>203</v>
      </c>
      <c r="C134" s="20" t="s">
        <v>35</v>
      </c>
      <c r="D134" s="130">
        <v>45750</v>
      </c>
      <c r="E134" s="97" t="s">
        <v>46</v>
      </c>
      <c r="F134" s="98"/>
      <c r="G134" s="99"/>
      <c r="H134" s="100">
        <v>1</v>
      </c>
      <c r="I134" s="98"/>
      <c r="J134" s="101"/>
      <c r="K134" s="102"/>
      <c r="L134" s="98" t="s">
        <v>204</v>
      </c>
      <c r="M134" s="97">
        <v>30</v>
      </c>
      <c r="N134" s="99"/>
      <c r="O134" s="14" t="s">
        <v>205</v>
      </c>
    </row>
    <row r="135" spans="1:15" ht="15.75" x14ac:dyDescent="0.25">
      <c r="A135" s="80">
        <f t="shared" si="1"/>
        <v>134</v>
      </c>
      <c r="B135" s="41" t="s">
        <v>203</v>
      </c>
      <c r="C135" s="20" t="s">
        <v>41</v>
      </c>
      <c r="D135" s="130">
        <v>45750</v>
      </c>
      <c r="E135" s="97" t="s">
        <v>46</v>
      </c>
      <c r="F135" s="98"/>
      <c r="G135" s="99"/>
      <c r="H135" s="100">
        <v>1</v>
      </c>
      <c r="I135" s="98"/>
      <c r="J135" s="101"/>
      <c r="K135" s="102"/>
      <c r="L135" s="98" t="s">
        <v>204</v>
      </c>
      <c r="M135" s="97">
        <v>30</v>
      </c>
      <c r="N135" s="99"/>
      <c r="O135" s="14" t="s">
        <v>205</v>
      </c>
    </row>
    <row r="136" spans="1:15" ht="15.75" x14ac:dyDescent="0.25">
      <c r="A136" s="80">
        <f t="shared" si="1"/>
        <v>135</v>
      </c>
      <c r="B136" s="41" t="s">
        <v>203</v>
      </c>
      <c r="C136" s="20" t="s">
        <v>45</v>
      </c>
      <c r="D136" s="130">
        <v>45762</v>
      </c>
      <c r="E136" s="97" t="s">
        <v>46</v>
      </c>
      <c r="F136" s="98"/>
      <c r="G136" s="99"/>
      <c r="H136" s="100">
        <v>1</v>
      </c>
      <c r="I136" s="98"/>
      <c r="J136" s="101"/>
      <c r="K136" s="102"/>
      <c r="L136" s="98" t="s">
        <v>204</v>
      </c>
      <c r="M136" s="97">
        <v>30</v>
      </c>
      <c r="N136" s="99"/>
      <c r="O136" s="14" t="s">
        <v>205</v>
      </c>
    </row>
    <row r="137" spans="1:15" ht="15.75" x14ac:dyDescent="0.25">
      <c r="A137" s="80">
        <f t="shared" si="1"/>
        <v>136</v>
      </c>
      <c r="B137" s="41" t="s">
        <v>203</v>
      </c>
      <c r="C137" s="20" t="s">
        <v>67</v>
      </c>
      <c r="D137" s="130">
        <v>45763</v>
      </c>
      <c r="E137" s="97" t="s">
        <v>46</v>
      </c>
      <c r="F137" s="98"/>
      <c r="G137" s="99"/>
      <c r="H137" s="100">
        <v>1</v>
      </c>
      <c r="I137" s="98"/>
      <c r="J137" s="101"/>
      <c r="K137" s="102"/>
      <c r="L137" s="98" t="s">
        <v>204</v>
      </c>
      <c r="M137" s="97">
        <v>30</v>
      </c>
      <c r="N137" s="99"/>
      <c r="O137" s="14" t="s">
        <v>205</v>
      </c>
    </row>
    <row r="138" spans="1:15" ht="15.75" x14ac:dyDescent="0.25">
      <c r="A138" s="80">
        <f t="shared" si="1"/>
        <v>137</v>
      </c>
      <c r="B138" s="41" t="s">
        <v>203</v>
      </c>
      <c r="C138" s="20" t="s">
        <v>70</v>
      </c>
      <c r="D138" s="130">
        <v>45763</v>
      </c>
      <c r="E138" s="97" t="s">
        <v>46</v>
      </c>
      <c r="F138" s="98"/>
      <c r="G138" s="99"/>
      <c r="H138" s="100">
        <v>1</v>
      </c>
      <c r="I138" s="98"/>
      <c r="J138" s="101"/>
      <c r="K138" s="102"/>
      <c r="L138" s="98" t="s">
        <v>204</v>
      </c>
      <c r="M138" s="97">
        <v>30</v>
      </c>
      <c r="N138" s="99"/>
      <c r="O138" s="14" t="s">
        <v>205</v>
      </c>
    </row>
    <row r="139" spans="1:15" ht="15.75" x14ac:dyDescent="0.25">
      <c r="A139" s="80">
        <f t="shared" si="1"/>
        <v>138</v>
      </c>
      <c r="B139" s="41" t="s">
        <v>203</v>
      </c>
      <c r="C139" s="20" t="s">
        <v>72</v>
      </c>
      <c r="D139" s="130">
        <v>45771</v>
      </c>
      <c r="E139" s="97" t="s">
        <v>46</v>
      </c>
      <c r="F139" s="98"/>
      <c r="G139" s="99"/>
      <c r="H139" s="100">
        <v>1</v>
      </c>
      <c r="I139" s="98"/>
      <c r="J139" s="101"/>
      <c r="K139" s="102"/>
      <c r="L139" s="98" t="s">
        <v>204</v>
      </c>
      <c r="M139" s="97">
        <v>30</v>
      </c>
      <c r="N139" s="99"/>
      <c r="O139" s="14" t="s">
        <v>205</v>
      </c>
    </row>
    <row r="140" spans="1:15" ht="15.75" x14ac:dyDescent="0.25">
      <c r="A140" s="80">
        <f t="shared" si="1"/>
        <v>139</v>
      </c>
      <c r="B140" s="41" t="s">
        <v>203</v>
      </c>
      <c r="C140" s="20" t="s">
        <v>74</v>
      </c>
      <c r="D140" s="130">
        <v>45771</v>
      </c>
      <c r="E140" s="97" t="s">
        <v>46</v>
      </c>
      <c r="F140" s="98"/>
      <c r="G140" s="99"/>
      <c r="H140" s="100">
        <v>1</v>
      </c>
      <c r="I140" s="98"/>
      <c r="J140" s="101"/>
      <c r="K140" s="102"/>
      <c r="L140" s="98" t="s">
        <v>204</v>
      </c>
      <c r="M140" s="97">
        <v>30</v>
      </c>
      <c r="N140" s="99"/>
      <c r="O140" s="14" t="s">
        <v>205</v>
      </c>
    </row>
    <row r="141" spans="1:15" ht="28.5" x14ac:dyDescent="0.25">
      <c r="A141" s="80">
        <f t="shared" si="1"/>
        <v>140</v>
      </c>
      <c r="B141" s="41" t="s">
        <v>203</v>
      </c>
      <c r="C141" s="20" t="s">
        <v>77</v>
      </c>
      <c r="D141" s="130">
        <v>45776</v>
      </c>
      <c r="E141" s="97" t="s">
        <v>46</v>
      </c>
      <c r="F141" s="98"/>
      <c r="G141" s="99" t="s">
        <v>206</v>
      </c>
      <c r="H141" s="100">
        <v>1</v>
      </c>
      <c r="I141" s="98"/>
      <c r="J141" s="101">
        <v>45776.567361111112</v>
      </c>
      <c r="K141" s="102"/>
      <c r="L141" s="98" t="s">
        <v>207</v>
      </c>
      <c r="M141" s="97">
        <v>55</v>
      </c>
      <c r="N141" s="99"/>
      <c r="O141" s="14" t="s">
        <v>205</v>
      </c>
    </row>
    <row r="142" spans="1:15" ht="15.75" x14ac:dyDescent="0.25">
      <c r="A142" s="80">
        <f t="shared" si="1"/>
        <v>141</v>
      </c>
      <c r="B142" s="41" t="s">
        <v>203</v>
      </c>
      <c r="C142" s="20" t="s">
        <v>92</v>
      </c>
      <c r="D142" s="130">
        <v>45776</v>
      </c>
      <c r="E142" s="97" t="s">
        <v>36</v>
      </c>
      <c r="F142" s="98"/>
      <c r="G142" s="99" t="s">
        <v>208</v>
      </c>
      <c r="H142" s="100">
        <v>1</v>
      </c>
      <c r="I142" s="101">
        <v>45776.355555555558</v>
      </c>
      <c r="J142" s="101">
        <v>45776.433333333334</v>
      </c>
      <c r="K142" s="102">
        <v>1</v>
      </c>
      <c r="L142" s="98" t="s">
        <v>207</v>
      </c>
      <c r="M142" s="97">
        <v>55</v>
      </c>
      <c r="N142" s="99"/>
      <c r="O142" s="14" t="s">
        <v>205</v>
      </c>
    </row>
    <row r="143" spans="1:15" ht="15.75" x14ac:dyDescent="0.25">
      <c r="A143" s="80">
        <f t="shared" si="1"/>
        <v>142</v>
      </c>
      <c r="B143" s="41" t="s">
        <v>203</v>
      </c>
      <c r="C143" s="20" t="s">
        <v>209</v>
      </c>
      <c r="D143" s="130">
        <v>45777</v>
      </c>
      <c r="E143" s="97" t="s">
        <v>46</v>
      </c>
      <c r="F143" s="98"/>
      <c r="G143" s="99"/>
      <c r="H143" s="100">
        <v>1</v>
      </c>
      <c r="I143" s="98"/>
      <c r="J143" s="101"/>
      <c r="K143" s="102"/>
      <c r="L143" s="98" t="s">
        <v>207</v>
      </c>
      <c r="M143" s="97">
        <v>55</v>
      </c>
      <c r="N143" s="99"/>
      <c r="O143" s="14" t="s">
        <v>205</v>
      </c>
    </row>
    <row r="144" spans="1:15" ht="15.75" x14ac:dyDescent="0.25">
      <c r="A144" s="80">
        <f t="shared" si="1"/>
        <v>143</v>
      </c>
      <c r="B144" s="41" t="s">
        <v>203</v>
      </c>
      <c r="C144" s="20" t="s">
        <v>210</v>
      </c>
      <c r="D144" s="130">
        <v>45779</v>
      </c>
      <c r="E144" s="97" t="s">
        <v>46</v>
      </c>
      <c r="F144" s="98"/>
      <c r="G144" s="99" t="s">
        <v>211</v>
      </c>
      <c r="H144" s="100">
        <v>1</v>
      </c>
      <c r="I144" s="98"/>
      <c r="J144" s="101">
        <v>45779.519444444442</v>
      </c>
      <c r="K144" s="102"/>
      <c r="L144" s="98" t="s">
        <v>207</v>
      </c>
      <c r="M144" s="97">
        <v>55</v>
      </c>
      <c r="N144" s="99"/>
      <c r="O144" s="14" t="s">
        <v>205</v>
      </c>
    </row>
    <row r="145" spans="1:15" ht="15.75" x14ac:dyDescent="0.25">
      <c r="A145" s="80">
        <f t="shared" ref="A145:A208" si="2">A144+1</f>
        <v>144</v>
      </c>
      <c r="B145" s="41" t="s">
        <v>203</v>
      </c>
      <c r="C145" s="20" t="s">
        <v>212</v>
      </c>
      <c r="D145" s="130">
        <v>45784</v>
      </c>
      <c r="E145" s="97" t="s">
        <v>36</v>
      </c>
      <c r="F145" s="98" t="s">
        <v>68</v>
      </c>
      <c r="G145" s="99" t="s">
        <v>213</v>
      </c>
      <c r="H145" s="100">
        <v>1</v>
      </c>
      <c r="I145" s="101">
        <v>45784.370833333334</v>
      </c>
      <c r="J145" s="101">
        <v>45784.457638888889</v>
      </c>
      <c r="K145" s="102">
        <v>1</v>
      </c>
      <c r="L145" s="98" t="s">
        <v>207</v>
      </c>
      <c r="M145" s="97">
        <v>55</v>
      </c>
      <c r="N145" s="99"/>
      <c r="O145" s="14" t="s">
        <v>205</v>
      </c>
    </row>
    <row r="146" spans="1:15" ht="15.75" x14ac:dyDescent="0.25">
      <c r="A146" s="80">
        <f t="shared" si="2"/>
        <v>145</v>
      </c>
      <c r="B146" s="41" t="s">
        <v>203</v>
      </c>
      <c r="C146" s="20" t="s">
        <v>214</v>
      </c>
      <c r="D146" s="130">
        <v>45785</v>
      </c>
      <c r="E146" s="97" t="s">
        <v>36</v>
      </c>
      <c r="F146" s="98"/>
      <c r="G146" s="99" t="s">
        <v>215</v>
      </c>
      <c r="H146" s="100">
        <v>1</v>
      </c>
      <c r="I146" s="101">
        <v>45785.383333333331</v>
      </c>
      <c r="J146" s="101">
        <v>45785.438194444447</v>
      </c>
      <c r="K146" s="102">
        <v>1</v>
      </c>
      <c r="L146" s="98" t="s">
        <v>207</v>
      </c>
      <c r="M146" s="97">
        <v>55</v>
      </c>
      <c r="N146" s="99"/>
      <c r="O146" s="14" t="s">
        <v>205</v>
      </c>
    </row>
    <row r="147" spans="1:15" ht="28.5" x14ac:dyDescent="0.25">
      <c r="A147" s="80">
        <f t="shared" si="2"/>
        <v>146</v>
      </c>
      <c r="B147" s="41" t="s">
        <v>203</v>
      </c>
      <c r="C147" s="20" t="s">
        <v>216</v>
      </c>
      <c r="D147" s="130">
        <v>45785</v>
      </c>
      <c r="E147" s="97" t="s">
        <v>46</v>
      </c>
      <c r="F147" s="98"/>
      <c r="G147" s="99" t="s">
        <v>217</v>
      </c>
      <c r="H147" s="100">
        <v>1</v>
      </c>
      <c r="I147" s="98"/>
      <c r="J147" s="101">
        <v>45786.022916666669</v>
      </c>
      <c r="K147" s="102"/>
      <c r="L147" s="98" t="s">
        <v>207</v>
      </c>
      <c r="M147" s="97">
        <v>55</v>
      </c>
      <c r="N147" s="99"/>
      <c r="O147" s="14" t="s">
        <v>205</v>
      </c>
    </row>
    <row r="148" spans="1:15" ht="15.75" x14ac:dyDescent="0.25">
      <c r="A148" s="80">
        <f t="shared" si="2"/>
        <v>147</v>
      </c>
      <c r="B148" s="41" t="s">
        <v>203</v>
      </c>
      <c r="C148" s="20" t="s">
        <v>218</v>
      </c>
      <c r="D148" s="130">
        <v>45791</v>
      </c>
      <c r="E148" s="97" t="s">
        <v>46</v>
      </c>
      <c r="F148" s="98"/>
      <c r="G148" s="99"/>
      <c r="H148" s="100">
        <v>1</v>
      </c>
      <c r="I148" s="101"/>
      <c r="J148" s="101"/>
      <c r="K148" s="101"/>
      <c r="L148" s="98" t="s">
        <v>204</v>
      </c>
      <c r="M148" s="97">
        <v>30</v>
      </c>
      <c r="N148" s="99"/>
      <c r="O148" s="14" t="s">
        <v>205</v>
      </c>
    </row>
    <row r="149" spans="1:15" ht="15.75" x14ac:dyDescent="0.25">
      <c r="A149" s="80">
        <f t="shared" si="2"/>
        <v>148</v>
      </c>
      <c r="B149" s="41" t="s">
        <v>203</v>
      </c>
      <c r="C149" s="20" t="s">
        <v>219</v>
      </c>
      <c r="D149" s="130">
        <v>45791</v>
      </c>
      <c r="E149" s="97" t="s">
        <v>46</v>
      </c>
      <c r="F149" s="98"/>
      <c r="G149" s="99"/>
      <c r="H149" s="100">
        <v>1</v>
      </c>
      <c r="I149" s="98"/>
      <c r="J149" s="101"/>
      <c r="K149" s="102"/>
      <c r="L149" s="98" t="s">
        <v>204</v>
      </c>
      <c r="M149" s="97">
        <v>30</v>
      </c>
      <c r="N149" s="99"/>
      <c r="O149" s="14" t="s">
        <v>205</v>
      </c>
    </row>
    <row r="150" spans="1:15" ht="15.75" x14ac:dyDescent="0.25">
      <c r="A150" s="80">
        <f t="shared" si="2"/>
        <v>149</v>
      </c>
      <c r="B150" s="41" t="s">
        <v>203</v>
      </c>
      <c r="C150" s="20" t="s">
        <v>220</v>
      </c>
      <c r="D150" s="130">
        <v>45881</v>
      </c>
      <c r="E150" s="97" t="s">
        <v>46</v>
      </c>
      <c r="F150" s="98"/>
      <c r="G150" s="99"/>
      <c r="H150" s="100">
        <v>1</v>
      </c>
      <c r="I150" s="98"/>
      <c r="J150" s="101"/>
      <c r="K150" s="102"/>
      <c r="L150" s="98" t="s">
        <v>204</v>
      </c>
      <c r="M150" s="97">
        <v>30</v>
      </c>
      <c r="N150" s="99"/>
      <c r="O150" s="14" t="s">
        <v>205</v>
      </c>
    </row>
    <row r="151" spans="1:15" ht="15.75" x14ac:dyDescent="0.25">
      <c r="A151" s="80">
        <f t="shared" si="2"/>
        <v>150</v>
      </c>
      <c r="B151" s="54" t="s">
        <v>203</v>
      </c>
      <c r="C151" s="20" t="s">
        <v>221</v>
      </c>
      <c r="D151" s="133">
        <v>45888</v>
      </c>
      <c r="E151" s="97" t="s">
        <v>46</v>
      </c>
      <c r="F151" s="98"/>
      <c r="G151" s="99"/>
      <c r="H151" s="100">
        <v>1</v>
      </c>
      <c r="I151" s="98"/>
      <c r="J151" s="101"/>
      <c r="K151" s="102"/>
      <c r="L151" s="98" t="s">
        <v>207</v>
      </c>
      <c r="M151" s="97">
        <v>55</v>
      </c>
      <c r="N151" s="99"/>
      <c r="O151" s="14" t="s">
        <v>205</v>
      </c>
    </row>
    <row r="152" spans="1:15" ht="15.75" x14ac:dyDescent="0.25">
      <c r="A152" s="80">
        <f t="shared" si="2"/>
        <v>151</v>
      </c>
      <c r="B152" s="54" t="s">
        <v>203</v>
      </c>
      <c r="C152" s="20" t="s">
        <v>222</v>
      </c>
      <c r="D152" s="133">
        <v>45889</v>
      </c>
      <c r="E152" s="97" t="s">
        <v>46</v>
      </c>
      <c r="F152" s="98"/>
      <c r="G152" s="99" t="s">
        <v>223</v>
      </c>
      <c r="H152" s="100">
        <v>1</v>
      </c>
      <c r="I152" s="98"/>
      <c r="J152" s="101">
        <v>45889.925000000003</v>
      </c>
      <c r="K152" s="102"/>
      <c r="L152" s="98" t="s">
        <v>207</v>
      </c>
      <c r="M152" s="97">
        <v>55</v>
      </c>
      <c r="N152" s="99"/>
      <c r="O152" s="14" t="s">
        <v>205</v>
      </c>
    </row>
    <row r="153" spans="1:15" ht="15.75" x14ac:dyDescent="0.25">
      <c r="A153" s="80">
        <f t="shared" si="2"/>
        <v>152</v>
      </c>
      <c r="B153" s="54" t="s">
        <v>203</v>
      </c>
      <c r="C153" s="20" t="s">
        <v>224</v>
      </c>
      <c r="D153" s="133">
        <v>45889</v>
      </c>
      <c r="E153" s="97" t="s">
        <v>46</v>
      </c>
      <c r="F153" s="98"/>
      <c r="G153" s="99"/>
      <c r="H153" s="100">
        <v>1</v>
      </c>
      <c r="I153" s="98"/>
      <c r="J153" s="101"/>
      <c r="K153" s="102"/>
      <c r="L153" s="98" t="s">
        <v>207</v>
      </c>
      <c r="M153" s="97">
        <v>55</v>
      </c>
      <c r="N153" s="99"/>
      <c r="O153" s="14" t="s">
        <v>205</v>
      </c>
    </row>
    <row r="154" spans="1:15" ht="15.75" x14ac:dyDescent="0.25">
      <c r="A154" s="80">
        <f t="shared" si="2"/>
        <v>153</v>
      </c>
      <c r="B154" s="54" t="s">
        <v>203</v>
      </c>
      <c r="C154" s="20" t="s">
        <v>225</v>
      </c>
      <c r="D154" s="133">
        <v>45895</v>
      </c>
      <c r="E154" s="97" t="s">
        <v>46</v>
      </c>
      <c r="F154" s="98"/>
      <c r="G154" s="99"/>
      <c r="H154" s="100">
        <v>1</v>
      </c>
      <c r="I154" s="98"/>
      <c r="J154" s="101"/>
      <c r="K154" s="102"/>
      <c r="L154" s="98" t="s">
        <v>204</v>
      </c>
      <c r="M154" s="97">
        <v>30</v>
      </c>
      <c r="N154" s="99"/>
      <c r="O154" s="14" t="s">
        <v>205</v>
      </c>
    </row>
    <row r="155" spans="1:15" ht="15.75" x14ac:dyDescent="0.25">
      <c r="A155" s="80">
        <f t="shared" si="2"/>
        <v>154</v>
      </c>
      <c r="B155" s="54" t="s">
        <v>203</v>
      </c>
      <c r="C155" s="20" t="s">
        <v>226</v>
      </c>
      <c r="D155" s="133">
        <v>45897</v>
      </c>
      <c r="E155" s="82" t="s">
        <v>36</v>
      </c>
      <c r="F155" s="98" t="s">
        <v>227</v>
      </c>
      <c r="G155" s="99" t="s">
        <v>228</v>
      </c>
      <c r="H155" s="100">
        <v>1</v>
      </c>
      <c r="I155" s="98"/>
      <c r="J155" s="101">
        <v>45898.456250000003</v>
      </c>
      <c r="K155" s="102"/>
      <c r="L155" s="98" t="s">
        <v>204</v>
      </c>
      <c r="M155" s="97">
        <v>30</v>
      </c>
      <c r="N155" s="99"/>
      <c r="O155" s="14" t="s">
        <v>205</v>
      </c>
    </row>
    <row r="156" spans="1:15" ht="28.5" x14ac:dyDescent="0.25">
      <c r="A156" s="80">
        <f t="shared" si="2"/>
        <v>155</v>
      </c>
      <c r="B156" s="54" t="s">
        <v>203</v>
      </c>
      <c r="C156" s="20" t="s">
        <v>229</v>
      </c>
      <c r="D156" s="133">
        <v>46086</v>
      </c>
      <c r="E156" s="82" t="s">
        <v>36</v>
      </c>
      <c r="F156" s="98" t="s">
        <v>230</v>
      </c>
      <c r="G156" s="99" t="s">
        <v>231</v>
      </c>
      <c r="H156" s="100">
        <v>1</v>
      </c>
      <c r="I156" s="98"/>
      <c r="J156" s="101"/>
      <c r="K156" s="102"/>
      <c r="L156" s="98" t="s">
        <v>232</v>
      </c>
      <c r="M156" s="97">
        <v>45</v>
      </c>
      <c r="N156" s="99"/>
      <c r="O156" s="14" t="s">
        <v>205</v>
      </c>
    </row>
    <row r="157" spans="1:15" ht="15.75" x14ac:dyDescent="0.25">
      <c r="A157" s="80">
        <f t="shared" si="2"/>
        <v>156</v>
      </c>
      <c r="B157" s="63" t="s">
        <v>203</v>
      </c>
      <c r="C157" s="64" t="s">
        <v>233</v>
      </c>
      <c r="D157" s="133">
        <v>46098</v>
      </c>
      <c r="E157" s="82" t="s">
        <v>36</v>
      </c>
      <c r="F157" s="65" t="s">
        <v>88</v>
      </c>
      <c r="G157" s="66" t="s">
        <v>234</v>
      </c>
      <c r="H157" s="67">
        <v>1</v>
      </c>
      <c r="I157" s="101">
        <v>46098.362500000003</v>
      </c>
      <c r="J157" s="101">
        <v>46098.436805555553</v>
      </c>
      <c r="K157" s="68">
        <v>1</v>
      </c>
      <c r="L157" s="65" t="s">
        <v>207</v>
      </c>
      <c r="M157" s="69">
        <v>55</v>
      </c>
      <c r="N157" s="66"/>
      <c r="O157" s="14" t="s">
        <v>205</v>
      </c>
    </row>
    <row r="158" spans="1:15" ht="15.75" x14ac:dyDescent="0.25">
      <c r="A158" s="80">
        <f t="shared" si="2"/>
        <v>157</v>
      </c>
      <c r="B158" s="63" t="s">
        <v>203</v>
      </c>
      <c r="C158" s="64" t="s">
        <v>235</v>
      </c>
      <c r="D158" s="133">
        <v>46119</v>
      </c>
      <c r="E158" s="82" t="s">
        <v>36</v>
      </c>
      <c r="F158" s="98" t="s">
        <v>88</v>
      </c>
      <c r="G158" s="99" t="s">
        <v>236</v>
      </c>
      <c r="H158" s="100">
        <v>1</v>
      </c>
      <c r="I158" s="101">
        <v>46119.351388888892</v>
      </c>
      <c r="J158" s="101">
        <v>46119.419444444444</v>
      </c>
      <c r="K158" s="86">
        <v>1</v>
      </c>
      <c r="L158" s="97" t="s">
        <v>207</v>
      </c>
      <c r="M158" s="69">
        <v>55</v>
      </c>
      <c r="N158" s="66"/>
      <c r="O158" s="14" t="s">
        <v>205</v>
      </c>
    </row>
    <row r="159" spans="1:15" ht="15.75" x14ac:dyDescent="0.25">
      <c r="A159" s="80">
        <f t="shared" si="2"/>
        <v>158</v>
      </c>
      <c r="B159" s="63" t="s">
        <v>203</v>
      </c>
      <c r="C159" s="64" t="s">
        <v>334</v>
      </c>
      <c r="D159" s="133">
        <v>46140</v>
      </c>
      <c r="E159" s="82" t="s">
        <v>36</v>
      </c>
      <c r="F159" s="98" t="s">
        <v>88</v>
      </c>
      <c r="G159" s="138" t="s">
        <v>336</v>
      </c>
      <c r="H159" s="100">
        <v>1</v>
      </c>
      <c r="I159" s="101"/>
      <c r="J159" s="101">
        <v>46140.416666666664</v>
      </c>
      <c r="K159" s="86">
        <v>1</v>
      </c>
      <c r="L159" s="97" t="s">
        <v>207</v>
      </c>
      <c r="M159" s="69">
        <v>55</v>
      </c>
      <c r="N159" s="66"/>
      <c r="O159" s="14" t="s">
        <v>205</v>
      </c>
    </row>
    <row r="160" spans="1:15" ht="15.75" x14ac:dyDescent="0.25">
      <c r="A160" s="80">
        <f t="shared" si="2"/>
        <v>159</v>
      </c>
      <c r="B160" s="63" t="s">
        <v>203</v>
      </c>
      <c r="C160" s="64" t="s">
        <v>335</v>
      </c>
      <c r="D160" s="133">
        <v>46141</v>
      </c>
      <c r="E160" s="82" t="s">
        <v>36</v>
      </c>
      <c r="F160" s="140" t="s">
        <v>338</v>
      </c>
      <c r="G160" s="99"/>
      <c r="H160" s="100">
        <v>1</v>
      </c>
      <c r="I160" s="101"/>
      <c r="J160" s="101"/>
      <c r="K160" s="102"/>
      <c r="L160" s="139" t="s">
        <v>337</v>
      </c>
      <c r="M160" s="69">
        <v>50</v>
      </c>
      <c r="N160" s="66"/>
      <c r="O160" s="14" t="s">
        <v>205</v>
      </c>
    </row>
    <row r="161" spans="1:15" ht="15.75" x14ac:dyDescent="0.25">
      <c r="A161" s="80">
        <f t="shared" si="2"/>
        <v>160</v>
      </c>
      <c r="B161" s="51" t="s">
        <v>237</v>
      </c>
      <c r="C161" s="18">
        <v>16</v>
      </c>
      <c r="D161" s="126">
        <v>45266</v>
      </c>
      <c r="E161" s="82" t="s">
        <v>46</v>
      </c>
      <c r="F161" s="81"/>
      <c r="G161" s="83"/>
      <c r="H161" s="84"/>
      <c r="I161" s="85"/>
      <c r="J161" s="85"/>
      <c r="K161" s="86"/>
      <c r="L161" s="82" t="s">
        <v>238</v>
      </c>
      <c r="M161" s="82"/>
      <c r="N161" s="83"/>
      <c r="O161" s="4" t="s">
        <v>239</v>
      </c>
    </row>
    <row r="162" spans="1:15" ht="15.75" x14ac:dyDescent="0.25">
      <c r="A162" s="80">
        <f t="shared" si="2"/>
        <v>161</v>
      </c>
      <c r="B162" s="51" t="s">
        <v>237</v>
      </c>
      <c r="C162" s="18">
        <v>17</v>
      </c>
      <c r="D162" s="126">
        <v>45266</v>
      </c>
      <c r="E162" s="82" t="s">
        <v>46</v>
      </c>
      <c r="F162" s="81"/>
      <c r="G162" s="83" t="s">
        <v>240</v>
      </c>
      <c r="H162" s="84"/>
      <c r="I162" s="85"/>
      <c r="J162" s="85">
        <v>45266.582638888889</v>
      </c>
      <c r="K162" s="86"/>
      <c r="L162" s="82" t="s">
        <v>238</v>
      </c>
      <c r="M162" s="82"/>
      <c r="N162" s="83"/>
      <c r="O162" s="4" t="s">
        <v>239</v>
      </c>
    </row>
    <row r="163" spans="1:15" ht="15.75" x14ac:dyDescent="0.25">
      <c r="A163" s="80">
        <f t="shared" si="2"/>
        <v>162</v>
      </c>
      <c r="B163" s="51" t="s">
        <v>237</v>
      </c>
      <c r="C163" s="18">
        <v>18</v>
      </c>
      <c r="D163" s="126">
        <v>45272</v>
      </c>
      <c r="E163" s="82" t="s">
        <v>46</v>
      </c>
      <c r="F163" s="81"/>
      <c r="G163" s="83"/>
      <c r="H163" s="84"/>
      <c r="I163" s="85"/>
      <c r="J163" s="85"/>
      <c r="K163" s="86"/>
      <c r="L163" s="82" t="s">
        <v>238</v>
      </c>
      <c r="M163" s="82"/>
      <c r="N163" s="83"/>
      <c r="O163" s="4" t="s">
        <v>239</v>
      </c>
    </row>
    <row r="164" spans="1:15" ht="15.75" x14ac:dyDescent="0.25">
      <c r="A164" s="80">
        <f t="shared" si="2"/>
        <v>163</v>
      </c>
      <c r="B164" s="51" t="s">
        <v>237</v>
      </c>
      <c r="C164" s="18">
        <v>19</v>
      </c>
      <c r="D164" s="126">
        <v>45272</v>
      </c>
      <c r="E164" s="82" t="s">
        <v>46</v>
      </c>
      <c r="F164" s="81"/>
      <c r="G164" s="83"/>
      <c r="H164" s="84"/>
      <c r="I164" s="85"/>
      <c r="J164" s="85"/>
      <c r="K164" s="86"/>
      <c r="L164" s="82" t="s">
        <v>238</v>
      </c>
      <c r="M164" s="82"/>
      <c r="N164" s="83"/>
      <c r="O164" s="4" t="s">
        <v>239</v>
      </c>
    </row>
    <row r="165" spans="1:15" ht="42.75" x14ac:dyDescent="0.25">
      <c r="A165" s="80">
        <f t="shared" si="2"/>
        <v>164</v>
      </c>
      <c r="B165" s="51" t="s">
        <v>237</v>
      </c>
      <c r="C165" s="18">
        <v>20</v>
      </c>
      <c r="D165" s="126">
        <v>45272</v>
      </c>
      <c r="E165" s="82" t="s">
        <v>36</v>
      </c>
      <c r="F165" s="81" t="s">
        <v>241</v>
      </c>
      <c r="G165" s="83" t="s">
        <v>242</v>
      </c>
      <c r="H165" s="84"/>
      <c r="I165" s="85"/>
      <c r="J165" s="85"/>
      <c r="K165" s="86"/>
      <c r="L165" s="82" t="s">
        <v>238</v>
      </c>
      <c r="M165" s="82"/>
      <c r="N165" s="84" t="s">
        <v>243</v>
      </c>
      <c r="O165" s="4" t="s">
        <v>239</v>
      </c>
    </row>
    <row r="166" spans="1:15" ht="57" x14ac:dyDescent="0.25">
      <c r="A166" s="80">
        <f t="shared" si="2"/>
        <v>165</v>
      </c>
      <c r="B166" s="51" t="s">
        <v>237</v>
      </c>
      <c r="C166" s="18">
        <v>21</v>
      </c>
      <c r="D166" s="126">
        <v>45380</v>
      </c>
      <c r="E166" s="82" t="s">
        <v>46</v>
      </c>
      <c r="F166" s="81"/>
      <c r="G166" s="83" t="s">
        <v>244</v>
      </c>
      <c r="H166" s="84"/>
      <c r="I166" s="85"/>
      <c r="J166" s="85"/>
      <c r="K166" s="86"/>
      <c r="L166" s="82" t="s">
        <v>238</v>
      </c>
      <c r="M166" s="82"/>
      <c r="N166" s="84" t="s">
        <v>245</v>
      </c>
      <c r="O166" s="4" t="s">
        <v>239</v>
      </c>
    </row>
    <row r="167" spans="1:15" ht="15.75" x14ac:dyDescent="0.25">
      <c r="A167" s="80">
        <f t="shared" si="2"/>
        <v>166</v>
      </c>
      <c r="B167" s="51" t="s">
        <v>237</v>
      </c>
      <c r="C167" s="18">
        <v>22</v>
      </c>
      <c r="D167" s="126">
        <v>45380</v>
      </c>
      <c r="E167" s="82" t="s">
        <v>36</v>
      </c>
      <c r="F167" s="81" t="s">
        <v>42</v>
      </c>
      <c r="G167" s="83" t="s">
        <v>246</v>
      </c>
      <c r="H167" s="84"/>
      <c r="I167" s="85">
        <v>45380.302083333336</v>
      </c>
      <c r="J167" s="85">
        <v>45380.347222222219</v>
      </c>
      <c r="K167" s="86">
        <v>1</v>
      </c>
      <c r="L167" s="82" t="s">
        <v>238</v>
      </c>
      <c r="M167" s="82"/>
      <c r="N167" s="83"/>
      <c r="O167" s="4" t="s">
        <v>239</v>
      </c>
    </row>
    <row r="168" spans="1:15" ht="15.75" x14ac:dyDescent="0.25">
      <c r="A168" s="80">
        <f t="shared" si="2"/>
        <v>167</v>
      </c>
      <c r="B168" s="51" t="s">
        <v>237</v>
      </c>
      <c r="C168" s="18">
        <v>23</v>
      </c>
      <c r="D168" s="126">
        <v>45385</v>
      </c>
      <c r="E168" s="82" t="s">
        <v>46</v>
      </c>
      <c r="F168" s="81"/>
      <c r="G168" s="83"/>
      <c r="H168" s="84"/>
      <c r="I168" s="85"/>
      <c r="J168" s="85"/>
      <c r="K168" s="86"/>
      <c r="L168" s="82" t="s">
        <v>238</v>
      </c>
      <c r="M168" s="82"/>
      <c r="N168" s="83"/>
      <c r="O168" s="4" t="s">
        <v>239</v>
      </c>
    </row>
    <row r="169" spans="1:15" ht="15.75" x14ac:dyDescent="0.25">
      <c r="A169" s="80">
        <f t="shared" si="2"/>
        <v>168</v>
      </c>
      <c r="B169" s="51" t="s">
        <v>237</v>
      </c>
      <c r="C169" s="18">
        <v>24</v>
      </c>
      <c r="D169" s="126">
        <v>45385</v>
      </c>
      <c r="E169" s="82" t="s">
        <v>46</v>
      </c>
      <c r="F169" s="81"/>
      <c r="G169" s="83"/>
      <c r="H169" s="84"/>
      <c r="I169" s="85"/>
      <c r="J169" s="85"/>
      <c r="K169" s="86"/>
      <c r="L169" s="82" t="s">
        <v>238</v>
      </c>
      <c r="M169" s="82"/>
      <c r="N169" s="83"/>
      <c r="O169" s="4" t="s">
        <v>239</v>
      </c>
    </row>
    <row r="170" spans="1:15" ht="15.75" x14ac:dyDescent="0.25">
      <c r="A170" s="80">
        <f t="shared" si="2"/>
        <v>169</v>
      </c>
      <c r="B170" s="51" t="s">
        <v>237</v>
      </c>
      <c r="C170" s="18">
        <v>25</v>
      </c>
      <c r="D170" s="126">
        <v>45386</v>
      </c>
      <c r="E170" s="82" t="s">
        <v>46</v>
      </c>
      <c r="F170" s="81"/>
      <c r="G170" s="83"/>
      <c r="H170" s="84"/>
      <c r="I170" s="85"/>
      <c r="J170" s="85"/>
      <c r="K170" s="86"/>
      <c r="L170" s="82" t="s">
        <v>238</v>
      </c>
      <c r="M170" s="82"/>
      <c r="N170" s="83"/>
      <c r="O170" s="4" t="s">
        <v>239</v>
      </c>
    </row>
    <row r="171" spans="1:15" ht="356.25" x14ac:dyDescent="0.25">
      <c r="A171" s="80">
        <f t="shared" si="2"/>
        <v>170</v>
      </c>
      <c r="B171" s="51" t="s">
        <v>237</v>
      </c>
      <c r="C171" s="18">
        <v>26</v>
      </c>
      <c r="D171" s="126">
        <v>45386</v>
      </c>
      <c r="E171" s="82" t="s">
        <v>46</v>
      </c>
      <c r="F171" s="81"/>
      <c r="G171" s="83" t="s">
        <v>248</v>
      </c>
      <c r="H171" s="84"/>
      <c r="I171" s="85">
        <v>45386.313888888886</v>
      </c>
      <c r="J171" s="85">
        <v>45386.456944444442</v>
      </c>
      <c r="K171" s="86"/>
      <c r="L171" s="82" t="s">
        <v>238</v>
      </c>
      <c r="M171" s="82"/>
      <c r="N171" s="84" t="s">
        <v>249</v>
      </c>
      <c r="O171" s="4" t="s">
        <v>239</v>
      </c>
    </row>
    <row r="172" spans="1:15" ht="327.75" x14ac:dyDescent="0.25">
      <c r="A172" s="80">
        <f t="shared" si="2"/>
        <v>171</v>
      </c>
      <c r="B172" s="51" t="s">
        <v>237</v>
      </c>
      <c r="C172" s="18">
        <v>27</v>
      </c>
      <c r="D172" s="126">
        <v>45393</v>
      </c>
      <c r="E172" s="82" t="s">
        <v>46</v>
      </c>
      <c r="F172" s="6" t="s">
        <v>42</v>
      </c>
      <c r="G172" s="83" t="s">
        <v>250</v>
      </c>
      <c r="H172" s="84"/>
      <c r="I172" s="85">
        <v>45393.302777777775</v>
      </c>
      <c r="J172" s="85">
        <v>45393.5</v>
      </c>
      <c r="K172" s="86"/>
      <c r="L172" s="82" t="s">
        <v>238</v>
      </c>
      <c r="M172" s="82"/>
      <c r="N172" s="84" t="s">
        <v>251</v>
      </c>
      <c r="O172" s="4" t="s">
        <v>239</v>
      </c>
    </row>
    <row r="173" spans="1:15" ht="114" x14ac:dyDescent="0.25">
      <c r="A173" s="80">
        <f t="shared" si="2"/>
        <v>172</v>
      </c>
      <c r="B173" s="51" t="s">
        <v>237</v>
      </c>
      <c r="C173" s="18">
        <v>28</v>
      </c>
      <c r="D173" s="126">
        <v>45485</v>
      </c>
      <c r="E173" s="82" t="s">
        <v>36</v>
      </c>
      <c r="F173" s="81" t="s">
        <v>247</v>
      </c>
      <c r="G173" s="83" t="s">
        <v>252</v>
      </c>
      <c r="H173" s="84"/>
      <c r="I173" s="85"/>
      <c r="J173" s="85"/>
      <c r="K173" s="86"/>
      <c r="L173" s="82" t="s">
        <v>238</v>
      </c>
      <c r="M173" s="82"/>
      <c r="N173" s="83" t="s">
        <v>253</v>
      </c>
      <c r="O173" s="4" t="s">
        <v>239</v>
      </c>
    </row>
    <row r="174" spans="1:15" ht="15.75" x14ac:dyDescent="0.25">
      <c r="A174" s="80">
        <f t="shared" si="2"/>
        <v>173</v>
      </c>
      <c r="B174" s="51" t="s">
        <v>237</v>
      </c>
      <c r="C174" s="18">
        <v>29</v>
      </c>
      <c r="D174" s="126">
        <v>45489</v>
      </c>
      <c r="E174" s="82" t="s">
        <v>46</v>
      </c>
      <c r="F174" s="81"/>
      <c r="G174" s="83"/>
      <c r="H174" s="84"/>
      <c r="I174" s="85"/>
      <c r="J174" s="85"/>
      <c r="K174" s="86"/>
      <c r="L174" s="82" t="s">
        <v>238</v>
      </c>
      <c r="M174" s="82"/>
      <c r="N174" s="83"/>
      <c r="O174" s="4" t="s">
        <v>239</v>
      </c>
    </row>
    <row r="175" spans="1:15" ht="15.75" x14ac:dyDescent="0.25">
      <c r="A175" s="80">
        <f t="shared" si="2"/>
        <v>174</v>
      </c>
      <c r="B175" s="51" t="s">
        <v>237</v>
      </c>
      <c r="C175" s="18">
        <v>30</v>
      </c>
      <c r="D175" s="126">
        <v>45490</v>
      </c>
      <c r="E175" s="82" t="s">
        <v>46</v>
      </c>
      <c r="F175" s="81"/>
      <c r="G175" s="83"/>
      <c r="H175" s="84"/>
      <c r="I175" s="85"/>
      <c r="J175" s="85"/>
      <c r="K175" s="86"/>
      <c r="L175" s="82" t="s">
        <v>238</v>
      </c>
      <c r="M175" s="82"/>
      <c r="N175" s="83"/>
      <c r="O175" s="4" t="s">
        <v>239</v>
      </c>
    </row>
    <row r="176" spans="1:15" ht="15.75" x14ac:dyDescent="0.25">
      <c r="A176" s="80">
        <f t="shared" si="2"/>
        <v>175</v>
      </c>
      <c r="B176" s="51" t="s">
        <v>237</v>
      </c>
      <c r="C176" s="18">
        <v>31</v>
      </c>
      <c r="D176" s="126">
        <v>45492</v>
      </c>
      <c r="E176" s="82" t="s">
        <v>36</v>
      </c>
      <c r="F176" s="81" t="s">
        <v>37</v>
      </c>
      <c r="G176" s="83" t="s">
        <v>254</v>
      </c>
      <c r="H176" s="84"/>
      <c r="I176" s="85"/>
      <c r="J176" s="85"/>
      <c r="K176" s="86"/>
      <c r="L176" s="82" t="s">
        <v>238</v>
      </c>
      <c r="M176" s="82"/>
      <c r="N176" s="83"/>
      <c r="O176" s="4" t="s">
        <v>239</v>
      </c>
    </row>
    <row r="177" spans="1:15" ht="28.5" x14ac:dyDescent="0.25">
      <c r="A177" s="80">
        <f t="shared" si="2"/>
        <v>176</v>
      </c>
      <c r="B177" s="51" t="s">
        <v>237</v>
      </c>
      <c r="C177" s="18">
        <v>32</v>
      </c>
      <c r="D177" s="126">
        <v>45496</v>
      </c>
      <c r="E177" s="82" t="s">
        <v>46</v>
      </c>
      <c r="F177" s="81"/>
      <c r="G177" s="83" t="s">
        <v>255</v>
      </c>
      <c r="H177" s="84"/>
      <c r="I177" s="85"/>
      <c r="J177" s="85"/>
      <c r="K177" s="86"/>
      <c r="L177" s="82" t="s">
        <v>238</v>
      </c>
      <c r="M177" s="82"/>
      <c r="N177" s="83"/>
      <c r="O177" s="4" t="s">
        <v>239</v>
      </c>
    </row>
    <row r="178" spans="1:15" ht="15.75" x14ac:dyDescent="0.25">
      <c r="A178" s="80">
        <f t="shared" si="2"/>
        <v>177</v>
      </c>
      <c r="B178" s="51" t="s">
        <v>237</v>
      </c>
      <c r="C178" s="18">
        <v>33</v>
      </c>
      <c r="D178" s="126">
        <v>45497</v>
      </c>
      <c r="E178" s="82" t="s">
        <v>46</v>
      </c>
      <c r="F178" s="81"/>
      <c r="G178" s="83"/>
      <c r="H178" s="84"/>
      <c r="I178" s="85"/>
      <c r="J178" s="85"/>
      <c r="K178" s="86"/>
      <c r="L178" s="82" t="s">
        <v>238</v>
      </c>
      <c r="M178" s="82"/>
      <c r="N178" s="83"/>
      <c r="O178" s="4" t="s">
        <v>239</v>
      </c>
    </row>
    <row r="179" spans="1:15" ht="15.75" x14ac:dyDescent="0.25">
      <c r="A179" s="80">
        <f t="shared" si="2"/>
        <v>178</v>
      </c>
      <c r="B179" s="51" t="s">
        <v>237</v>
      </c>
      <c r="C179" s="18">
        <v>34</v>
      </c>
      <c r="D179" s="126">
        <v>45502</v>
      </c>
      <c r="E179" s="82" t="s">
        <v>36</v>
      </c>
      <c r="F179" s="81" t="s">
        <v>37</v>
      </c>
      <c r="G179" s="94"/>
      <c r="H179" s="95"/>
      <c r="I179" s="85"/>
      <c r="J179" s="85"/>
      <c r="K179" s="86"/>
      <c r="L179" s="82" t="s">
        <v>238</v>
      </c>
      <c r="M179" s="82"/>
      <c r="N179" s="83"/>
      <c r="O179" s="4" t="s">
        <v>239</v>
      </c>
    </row>
    <row r="180" spans="1:15" ht="15.75" x14ac:dyDescent="0.25">
      <c r="A180" s="80">
        <f t="shared" si="2"/>
        <v>179</v>
      </c>
      <c r="B180" s="51" t="s">
        <v>237</v>
      </c>
      <c r="C180" s="18">
        <v>35</v>
      </c>
      <c r="D180" s="126">
        <v>45548</v>
      </c>
      <c r="E180" s="82" t="s">
        <v>46</v>
      </c>
      <c r="F180" s="81"/>
      <c r="G180" s="83"/>
      <c r="H180" s="84"/>
      <c r="I180" s="85"/>
      <c r="J180" s="85"/>
      <c r="K180" s="86"/>
      <c r="L180" s="82" t="s">
        <v>238</v>
      </c>
      <c r="M180" s="82"/>
      <c r="N180" s="83"/>
      <c r="O180" s="4" t="s">
        <v>239</v>
      </c>
    </row>
    <row r="181" spans="1:15" ht="15.75" x14ac:dyDescent="0.25">
      <c r="A181" s="80">
        <f t="shared" si="2"/>
        <v>180</v>
      </c>
      <c r="B181" s="51" t="s">
        <v>237</v>
      </c>
      <c r="C181" s="18">
        <v>36</v>
      </c>
      <c r="D181" s="126" t="s">
        <v>64</v>
      </c>
      <c r="E181" s="82" t="s">
        <v>36</v>
      </c>
      <c r="F181" s="81" t="s">
        <v>65</v>
      </c>
      <c r="G181" s="83" t="s">
        <v>256</v>
      </c>
      <c r="H181" s="84"/>
      <c r="I181" s="85"/>
      <c r="J181" s="85"/>
      <c r="K181" s="86"/>
      <c r="L181" s="82" t="s">
        <v>238</v>
      </c>
      <c r="M181" s="82"/>
      <c r="N181" s="83"/>
      <c r="O181" s="4" t="s">
        <v>239</v>
      </c>
    </row>
    <row r="182" spans="1:15" ht="15.75" x14ac:dyDescent="0.25">
      <c r="A182" s="80">
        <f t="shared" si="2"/>
        <v>181</v>
      </c>
      <c r="B182" s="51" t="s">
        <v>237</v>
      </c>
      <c r="C182" s="18">
        <v>37</v>
      </c>
      <c r="D182" s="126">
        <v>45553</v>
      </c>
      <c r="E182" s="82" t="s">
        <v>46</v>
      </c>
      <c r="F182" s="81"/>
      <c r="G182" s="83"/>
      <c r="H182" s="84"/>
      <c r="I182" s="85"/>
      <c r="J182" s="85"/>
      <c r="K182" s="86"/>
      <c r="L182" s="82" t="s">
        <v>238</v>
      </c>
      <c r="M182" s="82"/>
      <c r="N182" s="83"/>
      <c r="O182" s="4" t="s">
        <v>239</v>
      </c>
    </row>
    <row r="183" spans="1:15" ht="15.75" x14ac:dyDescent="0.25">
      <c r="A183" s="80">
        <f t="shared" si="2"/>
        <v>182</v>
      </c>
      <c r="B183" s="51" t="s">
        <v>237</v>
      </c>
      <c r="C183" s="18">
        <v>38</v>
      </c>
      <c r="D183" s="126">
        <v>45554</v>
      </c>
      <c r="E183" s="82" t="s">
        <v>36</v>
      </c>
      <c r="F183" s="81" t="s">
        <v>37</v>
      </c>
      <c r="G183" s="94"/>
      <c r="H183" s="95"/>
      <c r="I183" s="85"/>
      <c r="J183" s="85"/>
      <c r="K183" s="86"/>
      <c r="L183" s="82" t="s">
        <v>238</v>
      </c>
      <c r="M183" s="82"/>
      <c r="N183" s="83"/>
      <c r="O183" s="4" t="s">
        <v>239</v>
      </c>
    </row>
    <row r="184" spans="1:15" ht="15.75" x14ac:dyDescent="0.25">
      <c r="A184" s="80">
        <f t="shared" si="2"/>
        <v>183</v>
      </c>
      <c r="B184" s="51" t="s">
        <v>237</v>
      </c>
      <c r="C184" s="18">
        <v>39</v>
      </c>
      <c r="D184" s="126">
        <v>45555</v>
      </c>
      <c r="E184" s="82" t="s">
        <v>36</v>
      </c>
      <c r="F184" s="81" t="s">
        <v>65</v>
      </c>
      <c r="G184" s="83" t="s">
        <v>257</v>
      </c>
      <c r="H184" s="84"/>
      <c r="I184" s="85"/>
      <c r="J184" s="85"/>
      <c r="K184" s="86"/>
      <c r="L184" s="82" t="s">
        <v>238</v>
      </c>
      <c r="M184" s="82"/>
      <c r="N184" s="83"/>
      <c r="O184" s="4" t="s">
        <v>239</v>
      </c>
    </row>
    <row r="185" spans="1:15" ht="15.75" x14ac:dyDescent="0.25">
      <c r="A185" s="80">
        <f t="shared" si="2"/>
        <v>184</v>
      </c>
      <c r="B185" s="27" t="s">
        <v>237</v>
      </c>
      <c r="C185" s="19">
        <v>40</v>
      </c>
      <c r="D185" s="126">
        <v>45727</v>
      </c>
      <c r="E185" s="82" t="s">
        <v>46</v>
      </c>
      <c r="F185" s="81"/>
      <c r="G185" s="83"/>
      <c r="H185" s="84"/>
      <c r="I185" s="81"/>
      <c r="J185" s="85"/>
      <c r="K185" s="86"/>
      <c r="L185" s="81" t="s">
        <v>238</v>
      </c>
      <c r="M185" s="82"/>
      <c r="N185" s="83"/>
      <c r="O185" s="4" t="s">
        <v>239</v>
      </c>
    </row>
    <row r="186" spans="1:15" ht="15.75" x14ac:dyDescent="0.25">
      <c r="A186" s="80">
        <f t="shared" si="2"/>
        <v>185</v>
      </c>
      <c r="B186" s="51" t="s">
        <v>237</v>
      </c>
      <c r="C186" s="18">
        <v>41</v>
      </c>
      <c r="D186" s="126">
        <v>45742</v>
      </c>
      <c r="E186" s="82" t="s">
        <v>46</v>
      </c>
      <c r="F186" s="81"/>
      <c r="G186" s="83"/>
      <c r="H186" s="84"/>
      <c r="I186" s="85"/>
      <c r="J186" s="85"/>
      <c r="K186" s="86"/>
      <c r="L186" s="82" t="s">
        <v>238</v>
      </c>
      <c r="M186" s="82"/>
      <c r="N186" s="83"/>
      <c r="O186" s="4" t="s">
        <v>239</v>
      </c>
    </row>
    <row r="187" spans="1:15" ht="15.75" x14ac:dyDescent="0.25">
      <c r="A187" s="80">
        <f t="shared" si="2"/>
        <v>186</v>
      </c>
      <c r="B187" s="51" t="s">
        <v>237</v>
      </c>
      <c r="C187" s="18">
        <v>42</v>
      </c>
      <c r="D187" s="126">
        <v>45748</v>
      </c>
      <c r="E187" s="82" t="s">
        <v>46</v>
      </c>
      <c r="F187" s="81"/>
      <c r="G187" s="83" t="s">
        <v>258</v>
      </c>
      <c r="H187" s="84"/>
      <c r="I187" s="81"/>
      <c r="J187" s="85">
        <v>45748.481944444444</v>
      </c>
      <c r="K187" s="86"/>
      <c r="L187" s="82" t="s">
        <v>238</v>
      </c>
      <c r="M187" s="82"/>
      <c r="N187" s="83"/>
      <c r="O187" s="4" t="s">
        <v>239</v>
      </c>
    </row>
    <row r="188" spans="1:15" ht="15.75" x14ac:dyDescent="0.25">
      <c r="A188" s="80">
        <f t="shared" si="2"/>
        <v>187</v>
      </c>
      <c r="B188" s="51" t="s">
        <v>237</v>
      </c>
      <c r="C188" s="18">
        <v>43</v>
      </c>
      <c r="D188" s="126">
        <v>45748</v>
      </c>
      <c r="E188" s="82" t="s">
        <v>46</v>
      </c>
      <c r="F188" s="81"/>
      <c r="G188" s="83" t="s">
        <v>259</v>
      </c>
      <c r="H188" s="84"/>
      <c r="I188" s="81"/>
      <c r="J188" s="85">
        <v>45748.594444444447</v>
      </c>
      <c r="K188" s="86"/>
      <c r="L188" s="82" t="s">
        <v>238</v>
      </c>
      <c r="M188" s="82"/>
      <c r="N188" s="83"/>
      <c r="O188" s="4" t="s">
        <v>239</v>
      </c>
    </row>
    <row r="189" spans="1:15" ht="15.75" x14ac:dyDescent="0.25">
      <c r="A189" s="80">
        <f t="shared" si="2"/>
        <v>188</v>
      </c>
      <c r="B189" s="28" t="s">
        <v>260</v>
      </c>
      <c r="C189" s="17" t="s">
        <v>35</v>
      </c>
      <c r="D189" s="126">
        <v>45685</v>
      </c>
      <c r="E189" s="82" t="s">
        <v>46</v>
      </c>
      <c r="F189" s="81"/>
      <c r="G189" s="94"/>
      <c r="H189" s="95"/>
      <c r="I189" s="85"/>
      <c r="J189" s="85"/>
      <c r="K189" s="86"/>
      <c r="L189" s="82" t="s">
        <v>261</v>
      </c>
      <c r="M189" s="82"/>
      <c r="N189" s="83"/>
      <c r="O189" s="4" t="s">
        <v>262</v>
      </c>
    </row>
    <row r="190" spans="1:15" ht="15.75" x14ac:dyDescent="0.25">
      <c r="A190" s="80">
        <f t="shared" si="2"/>
        <v>189</v>
      </c>
      <c r="B190" s="28" t="s">
        <v>260</v>
      </c>
      <c r="C190" s="17" t="s">
        <v>41</v>
      </c>
      <c r="D190" s="126">
        <v>45685</v>
      </c>
      <c r="E190" s="82" t="s">
        <v>36</v>
      </c>
      <c r="F190" s="81" t="s">
        <v>42</v>
      </c>
      <c r="G190" s="83" t="s">
        <v>264</v>
      </c>
      <c r="H190" s="84"/>
      <c r="I190" s="85">
        <v>45685.341666666667</v>
      </c>
      <c r="J190" s="85">
        <v>45685.415277777778</v>
      </c>
      <c r="K190" s="86">
        <v>1</v>
      </c>
      <c r="L190" s="82" t="s">
        <v>261</v>
      </c>
      <c r="M190" s="82"/>
      <c r="N190" s="83"/>
      <c r="O190" s="4" t="s">
        <v>262</v>
      </c>
    </row>
    <row r="191" spans="1:15" ht="15.75" x14ac:dyDescent="0.25">
      <c r="A191" s="80">
        <f t="shared" si="2"/>
        <v>190</v>
      </c>
      <c r="B191" s="28" t="s">
        <v>260</v>
      </c>
      <c r="C191" s="17" t="s">
        <v>45</v>
      </c>
      <c r="D191" s="126">
        <v>45686</v>
      </c>
      <c r="E191" s="82" t="s">
        <v>46</v>
      </c>
      <c r="F191" s="81"/>
      <c r="G191" s="94"/>
      <c r="H191" s="95"/>
      <c r="I191" s="85"/>
      <c r="J191" s="85"/>
      <c r="K191" s="86"/>
      <c r="L191" s="82" t="s">
        <v>261</v>
      </c>
      <c r="M191" s="82"/>
      <c r="N191" s="83"/>
      <c r="O191" s="4" t="s">
        <v>262</v>
      </c>
    </row>
    <row r="192" spans="1:15" ht="15.75" x14ac:dyDescent="0.25">
      <c r="A192" s="80">
        <f t="shared" si="2"/>
        <v>191</v>
      </c>
      <c r="B192" s="28" t="s">
        <v>260</v>
      </c>
      <c r="C192" s="17" t="s">
        <v>67</v>
      </c>
      <c r="D192" s="129">
        <v>45687</v>
      </c>
      <c r="E192" s="82" t="s">
        <v>46</v>
      </c>
      <c r="F192" s="81"/>
      <c r="G192" s="94" t="s">
        <v>268</v>
      </c>
      <c r="H192" s="95"/>
      <c r="I192" s="85"/>
      <c r="J192" s="85"/>
      <c r="K192" s="86"/>
      <c r="L192" s="82" t="s">
        <v>261</v>
      </c>
      <c r="M192" s="82"/>
      <c r="N192" s="83"/>
      <c r="O192" s="4" t="s">
        <v>262</v>
      </c>
    </row>
    <row r="193" spans="1:15" ht="15.75" x14ac:dyDescent="0.25">
      <c r="A193" s="80">
        <f t="shared" si="2"/>
        <v>192</v>
      </c>
      <c r="B193" s="28" t="s">
        <v>260</v>
      </c>
      <c r="C193" s="17" t="s">
        <v>70</v>
      </c>
      <c r="D193" s="129">
        <v>45688</v>
      </c>
      <c r="E193" s="82" t="s">
        <v>46</v>
      </c>
      <c r="F193" s="81"/>
      <c r="G193" s="94"/>
      <c r="H193" s="95"/>
      <c r="I193" s="85"/>
      <c r="J193" s="85"/>
      <c r="K193" s="86"/>
      <c r="L193" s="82" t="s">
        <v>261</v>
      </c>
      <c r="M193" s="82"/>
      <c r="N193" s="83"/>
      <c r="O193" s="4" t="s">
        <v>262</v>
      </c>
    </row>
    <row r="194" spans="1:15" ht="28.5" x14ac:dyDescent="0.25">
      <c r="A194" s="80">
        <f t="shared" si="2"/>
        <v>193</v>
      </c>
      <c r="B194" s="28" t="s">
        <v>260</v>
      </c>
      <c r="C194" s="17" t="s">
        <v>72</v>
      </c>
      <c r="D194" s="129">
        <v>45688</v>
      </c>
      <c r="E194" s="82" t="s">
        <v>36</v>
      </c>
      <c r="F194" s="81" t="s">
        <v>68</v>
      </c>
      <c r="G194" s="94" t="s">
        <v>269</v>
      </c>
      <c r="H194" s="95"/>
      <c r="I194" s="85"/>
      <c r="J194" s="85"/>
      <c r="K194" s="86"/>
      <c r="L194" s="82" t="s">
        <v>261</v>
      </c>
      <c r="M194" s="82"/>
      <c r="N194" s="83"/>
      <c r="O194" s="4" t="s">
        <v>262</v>
      </c>
    </row>
    <row r="195" spans="1:15" ht="15.75" x14ac:dyDescent="0.25">
      <c r="A195" s="80">
        <f t="shared" si="2"/>
        <v>194</v>
      </c>
      <c r="B195" s="28" t="s">
        <v>260</v>
      </c>
      <c r="C195" s="17" t="s">
        <v>74</v>
      </c>
      <c r="D195" s="129">
        <v>45692</v>
      </c>
      <c r="E195" s="82" t="s">
        <v>36</v>
      </c>
      <c r="F195" s="81" t="s">
        <v>56</v>
      </c>
      <c r="G195" s="94" t="s">
        <v>270</v>
      </c>
      <c r="H195" s="95"/>
      <c r="I195" s="85"/>
      <c r="J195" s="85"/>
      <c r="K195" s="86"/>
      <c r="L195" s="82" t="s">
        <v>261</v>
      </c>
      <c r="M195" s="82"/>
      <c r="N195" s="83"/>
      <c r="O195" s="4" t="s">
        <v>262</v>
      </c>
    </row>
    <row r="196" spans="1:15" ht="15.75" x14ac:dyDescent="0.25">
      <c r="A196" s="80">
        <f t="shared" si="2"/>
        <v>195</v>
      </c>
      <c r="B196" s="28" t="s">
        <v>260</v>
      </c>
      <c r="C196" s="17" t="s">
        <v>77</v>
      </c>
      <c r="D196" s="129">
        <v>45692</v>
      </c>
      <c r="E196" s="82" t="s">
        <v>46</v>
      </c>
      <c r="F196" s="81"/>
      <c r="G196" s="94"/>
      <c r="H196" s="95"/>
      <c r="I196" s="85"/>
      <c r="J196" s="85"/>
      <c r="K196" s="86"/>
      <c r="L196" s="82" t="s">
        <v>261</v>
      </c>
      <c r="M196" s="82"/>
      <c r="N196" s="83"/>
      <c r="O196" s="4" t="s">
        <v>262</v>
      </c>
    </row>
    <row r="197" spans="1:15" ht="15.75" x14ac:dyDescent="0.25">
      <c r="A197" s="80">
        <f t="shared" si="2"/>
        <v>196</v>
      </c>
      <c r="B197" s="28" t="s">
        <v>260</v>
      </c>
      <c r="C197" s="17" t="s">
        <v>92</v>
      </c>
      <c r="D197" s="129">
        <v>45693</v>
      </c>
      <c r="E197" s="82" t="s">
        <v>46</v>
      </c>
      <c r="F197" s="81"/>
      <c r="G197" s="94" t="s">
        <v>271</v>
      </c>
      <c r="H197" s="95"/>
      <c r="I197" s="85"/>
      <c r="J197" s="85"/>
      <c r="K197" s="86"/>
      <c r="L197" s="82" t="s">
        <v>261</v>
      </c>
      <c r="M197" s="82"/>
      <c r="N197" s="83"/>
      <c r="O197" s="4" t="s">
        <v>262</v>
      </c>
    </row>
    <row r="198" spans="1:15" ht="15.75" x14ac:dyDescent="0.25">
      <c r="A198" s="80">
        <f t="shared" si="2"/>
        <v>197</v>
      </c>
      <c r="B198" s="28" t="s">
        <v>260</v>
      </c>
      <c r="C198" s="17">
        <v>10</v>
      </c>
      <c r="D198" s="129">
        <v>45693</v>
      </c>
      <c r="E198" s="82" t="s">
        <v>46</v>
      </c>
      <c r="F198" s="81"/>
      <c r="G198" s="94"/>
      <c r="H198" s="95"/>
      <c r="I198" s="85"/>
      <c r="J198" s="85"/>
      <c r="K198" s="86"/>
      <c r="L198" s="82" t="s">
        <v>261</v>
      </c>
      <c r="M198" s="82"/>
      <c r="N198" s="83"/>
      <c r="O198" s="4" t="s">
        <v>262</v>
      </c>
    </row>
    <row r="199" spans="1:15" ht="15.75" x14ac:dyDescent="0.25">
      <c r="A199" s="80">
        <f t="shared" si="2"/>
        <v>198</v>
      </c>
      <c r="B199" s="28" t="s">
        <v>260</v>
      </c>
      <c r="C199" s="17">
        <v>11</v>
      </c>
      <c r="D199" s="129">
        <v>45694</v>
      </c>
      <c r="E199" s="82" t="s">
        <v>46</v>
      </c>
      <c r="F199" s="81"/>
      <c r="G199" s="94"/>
      <c r="H199" s="95"/>
      <c r="I199" s="85"/>
      <c r="J199" s="85"/>
      <c r="K199" s="86"/>
      <c r="L199" s="82" t="s">
        <v>261</v>
      </c>
      <c r="M199" s="82"/>
      <c r="N199" s="83"/>
      <c r="O199" s="4" t="s">
        <v>262</v>
      </c>
    </row>
    <row r="200" spans="1:15" ht="15.75" x14ac:dyDescent="0.25">
      <c r="A200" s="80">
        <f t="shared" si="2"/>
        <v>199</v>
      </c>
      <c r="B200" s="28" t="s">
        <v>260</v>
      </c>
      <c r="C200" s="17">
        <v>12</v>
      </c>
      <c r="D200" s="129">
        <v>45694</v>
      </c>
      <c r="E200" s="82" t="s">
        <v>36</v>
      </c>
      <c r="F200" s="81" t="s">
        <v>68</v>
      </c>
      <c r="G200" s="83" t="s">
        <v>263</v>
      </c>
      <c r="H200" s="84"/>
      <c r="I200" s="85"/>
      <c r="J200" s="85"/>
      <c r="K200" s="86"/>
      <c r="L200" s="82" t="s">
        <v>261</v>
      </c>
      <c r="M200" s="82"/>
      <c r="N200" s="83"/>
      <c r="O200" s="4" t="s">
        <v>262</v>
      </c>
    </row>
    <row r="201" spans="1:15" ht="15.75" x14ac:dyDescent="0.25">
      <c r="A201" s="80">
        <f t="shared" si="2"/>
        <v>200</v>
      </c>
      <c r="B201" s="28" t="s">
        <v>260</v>
      </c>
      <c r="C201" s="17">
        <v>13</v>
      </c>
      <c r="D201" s="129">
        <v>45700</v>
      </c>
      <c r="E201" s="82" t="s">
        <v>46</v>
      </c>
      <c r="F201" s="81"/>
      <c r="G201" s="94"/>
      <c r="H201" s="95"/>
      <c r="I201" s="85"/>
      <c r="J201" s="85"/>
      <c r="K201" s="86"/>
      <c r="L201" s="82" t="s">
        <v>261</v>
      </c>
      <c r="M201" s="82"/>
      <c r="N201" s="83"/>
      <c r="O201" s="4" t="s">
        <v>262</v>
      </c>
    </row>
    <row r="202" spans="1:15" ht="15.75" x14ac:dyDescent="0.25">
      <c r="A202" s="80">
        <f t="shared" si="2"/>
        <v>201</v>
      </c>
      <c r="B202" s="28" t="s">
        <v>260</v>
      </c>
      <c r="C202" s="17">
        <v>14</v>
      </c>
      <c r="D202" s="129">
        <v>45720</v>
      </c>
      <c r="E202" s="82" t="s">
        <v>36</v>
      </c>
      <c r="F202" s="81" t="s">
        <v>42</v>
      </c>
      <c r="G202" s="83" t="s">
        <v>264</v>
      </c>
      <c r="H202" s="84"/>
      <c r="I202" s="85">
        <v>45720.354861111111</v>
      </c>
      <c r="J202" s="85">
        <v>45720.434027777781</v>
      </c>
      <c r="K202" s="86">
        <v>1</v>
      </c>
      <c r="L202" s="82" t="s">
        <v>261</v>
      </c>
      <c r="M202" s="82"/>
      <c r="N202" s="83"/>
      <c r="O202" s="4" t="s">
        <v>262</v>
      </c>
    </row>
    <row r="203" spans="1:15" ht="15.75" x14ac:dyDescent="0.25">
      <c r="A203" s="80">
        <f t="shared" si="2"/>
        <v>202</v>
      </c>
      <c r="B203" s="28" t="s">
        <v>260</v>
      </c>
      <c r="C203" s="17">
        <v>15</v>
      </c>
      <c r="D203" s="129">
        <v>45720</v>
      </c>
      <c r="E203" s="82" t="s">
        <v>46</v>
      </c>
      <c r="F203" s="81"/>
      <c r="G203" s="94" t="s">
        <v>265</v>
      </c>
      <c r="H203" s="95"/>
      <c r="I203" s="85"/>
      <c r="J203" s="85">
        <v>45721.225694444445</v>
      </c>
      <c r="K203" s="86"/>
      <c r="L203" s="82" t="s">
        <v>261</v>
      </c>
      <c r="M203" s="82"/>
      <c r="N203" s="83"/>
      <c r="O203" s="4" t="s">
        <v>262</v>
      </c>
    </row>
    <row r="204" spans="1:15" ht="15.75" x14ac:dyDescent="0.25">
      <c r="A204" s="80">
        <f t="shared" si="2"/>
        <v>203</v>
      </c>
      <c r="B204" s="28" t="s">
        <v>260</v>
      </c>
      <c r="C204" s="17">
        <v>16</v>
      </c>
      <c r="D204" s="131">
        <v>45749</v>
      </c>
      <c r="E204" s="82" t="s">
        <v>36</v>
      </c>
      <c r="F204" s="6" t="s">
        <v>266</v>
      </c>
      <c r="G204" s="83" t="s">
        <v>267</v>
      </c>
      <c r="H204" s="84"/>
      <c r="I204" s="81"/>
      <c r="J204" s="85"/>
      <c r="K204" s="86"/>
      <c r="L204" s="82" t="s">
        <v>261</v>
      </c>
      <c r="M204" s="82"/>
      <c r="N204" s="83"/>
      <c r="O204" s="4" t="s">
        <v>262</v>
      </c>
    </row>
    <row r="205" spans="1:15" ht="15.75" x14ac:dyDescent="0.25">
      <c r="A205" s="80">
        <f t="shared" si="2"/>
        <v>204</v>
      </c>
      <c r="B205" s="50" t="s">
        <v>272</v>
      </c>
      <c r="C205" s="22" t="s">
        <v>35</v>
      </c>
      <c r="D205" s="9" t="s">
        <v>64</v>
      </c>
      <c r="E205" s="6" t="s">
        <v>36</v>
      </c>
      <c r="F205" s="81" t="s">
        <v>65</v>
      </c>
      <c r="G205" s="7" t="s">
        <v>277</v>
      </c>
      <c r="H205" s="7"/>
      <c r="I205" s="85"/>
      <c r="J205" s="85"/>
      <c r="K205" s="86"/>
      <c r="L205" s="82" t="s">
        <v>273</v>
      </c>
      <c r="M205" s="82"/>
      <c r="N205" s="83"/>
      <c r="O205" s="10" t="s">
        <v>274</v>
      </c>
    </row>
    <row r="206" spans="1:15" ht="42.75" x14ac:dyDescent="0.25">
      <c r="A206" s="80">
        <f t="shared" si="2"/>
        <v>205</v>
      </c>
      <c r="B206" s="50" t="s">
        <v>272</v>
      </c>
      <c r="C206" s="18" t="s">
        <v>41</v>
      </c>
      <c r="D206" s="126">
        <v>45622</v>
      </c>
      <c r="E206" s="82" t="s">
        <v>36</v>
      </c>
      <c r="F206" s="81" t="s">
        <v>247</v>
      </c>
      <c r="G206" s="83" t="s">
        <v>278</v>
      </c>
      <c r="H206" s="84"/>
      <c r="I206" s="85"/>
      <c r="J206" s="85"/>
      <c r="K206" s="86"/>
      <c r="L206" s="82" t="s">
        <v>273</v>
      </c>
      <c r="M206" s="82"/>
      <c r="N206" s="83"/>
      <c r="O206" s="4" t="s">
        <v>274</v>
      </c>
    </row>
    <row r="207" spans="1:15" ht="28.5" x14ac:dyDescent="0.25">
      <c r="A207" s="80">
        <f t="shared" si="2"/>
        <v>206</v>
      </c>
      <c r="B207" s="50" t="s">
        <v>272</v>
      </c>
      <c r="C207" s="18" t="s">
        <v>45</v>
      </c>
      <c r="D207" s="126">
        <v>45643</v>
      </c>
      <c r="E207" s="82" t="s">
        <v>36</v>
      </c>
      <c r="F207" s="81"/>
      <c r="G207" s="7" t="s">
        <v>279</v>
      </c>
      <c r="H207" s="7"/>
      <c r="I207" s="85"/>
      <c r="J207" s="85"/>
      <c r="K207" s="86"/>
      <c r="L207" s="82" t="s">
        <v>273</v>
      </c>
      <c r="M207" s="82"/>
      <c r="N207" s="83"/>
      <c r="O207" s="4" t="s">
        <v>274</v>
      </c>
    </row>
    <row r="208" spans="1:15" ht="15.75" x14ac:dyDescent="0.25">
      <c r="A208" s="80">
        <f t="shared" si="2"/>
        <v>207</v>
      </c>
      <c r="B208" s="50" t="s">
        <v>272</v>
      </c>
      <c r="C208" s="18" t="s">
        <v>67</v>
      </c>
      <c r="D208" s="126">
        <v>45645</v>
      </c>
      <c r="E208" s="82" t="s">
        <v>46</v>
      </c>
      <c r="F208" s="81"/>
      <c r="G208" s="83"/>
      <c r="H208" s="84"/>
      <c r="I208" s="85"/>
      <c r="J208" s="85"/>
      <c r="K208" s="86"/>
      <c r="L208" s="82" t="s">
        <v>273</v>
      </c>
      <c r="M208" s="82"/>
      <c r="N208" s="83"/>
      <c r="O208" s="4" t="s">
        <v>274</v>
      </c>
    </row>
    <row r="209" spans="1:15" ht="15.75" x14ac:dyDescent="0.25">
      <c r="A209" s="80">
        <f t="shared" ref="A209:A257" si="3">A208+1</f>
        <v>208</v>
      </c>
      <c r="B209" s="50" t="s">
        <v>272</v>
      </c>
      <c r="C209" s="18" t="s">
        <v>70</v>
      </c>
      <c r="D209" s="126">
        <v>45645</v>
      </c>
      <c r="E209" s="82" t="s">
        <v>46</v>
      </c>
      <c r="F209" s="81"/>
      <c r="G209" s="83"/>
      <c r="H209" s="84"/>
      <c r="I209" s="85"/>
      <c r="J209" s="85"/>
      <c r="K209" s="86"/>
      <c r="L209" s="82" t="s">
        <v>273</v>
      </c>
      <c r="M209" s="82"/>
      <c r="N209" s="83"/>
      <c r="O209" s="4" t="s">
        <v>274</v>
      </c>
    </row>
    <row r="210" spans="1:15" ht="15.75" x14ac:dyDescent="0.25">
      <c r="A210" s="80">
        <f t="shared" si="3"/>
        <v>209</v>
      </c>
      <c r="B210" s="50" t="s">
        <v>272</v>
      </c>
      <c r="C210" s="18" t="s">
        <v>72</v>
      </c>
      <c r="D210" s="126">
        <v>45665</v>
      </c>
      <c r="E210" s="82" t="s">
        <v>36</v>
      </c>
      <c r="F210" s="81" t="s">
        <v>68</v>
      </c>
      <c r="G210" s="83" t="s">
        <v>280</v>
      </c>
      <c r="H210" s="84"/>
      <c r="I210" s="85"/>
      <c r="J210" s="85"/>
      <c r="K210" s="86"/>
      <c r="L210" s="82" t="s">
        <v>273</v>
      </c>
      <c r="M210" s="82"/>
      <c r="N210" s="83"/>
      <c r="O210" s="4" t="s">
        <v>274</v>
      </c>
    </row>
    <row r="211" spans="1:15" ht="85.5" x14ac:dyDescent="0.25">
      <c r="A211" s="80">
        <f t="shared" si="3"/>
        <v>210</v>
      </c>
      <c r="B211" s="50" t="s">
        <v>272</v>
      </c>
      <c r="C211" s="18" t="s">
        <v>74</v>
      </c>
      <c r="D211" s="126">
        <v>45665</v>
      </c>
      <c r="E211" s="82" t="s">
        <v>46</v>
      </c>
      <c r="F211" s="81"/>
      <c r="G211" s="83" t="s">
        <v>281</v>
      </c>
      <c r="H211" s="84"/>
      <c r="I211" s="85"/>
      <c r="J211" s="85"/>
      <c r="K211" s="86"/>
      <c r="L211" s="82" t="s">
        <v>273</v>
      </c>
      <c r="M211" s="82"/>
      <c r="N211" s="83" t="s">
        <v>282</v>
      </c>
      <c r="O211" s="4" t="s">
        <v>274</v>
      </c>
    </row>
    <row r="212" spans="1:15" ht="71.25" x14ac:dyDescent="0.25">
      <c r="A212" s="80">
        <f t="shared" si="3"/>
        <v>211</v>
      </c>
      <c r="B212" s="50" t="s">
        <v>272</v>
      </c>
      <c r="C212" s="19" t="s">
        <v>77</v>
      </c>
      <c r="D212" s="126">
        <v>45666</v>
      </c>
      <c r="E212" s="82" t="s">
        <v>36</v>
      </c>
      <c r="F212" s="81" t="s">
        <v>42</v>
      </c>
      <c r="G212" s="94" t="s">
        <v>283</v>
      </c>
      <c r="H212" s="95"/>
      <c r="I212" s="85">
        <v>45666.352083333331</v>
      </c>
      <c r="J212" s="85">
        <v>45666.423611111109</v>
      </c>
      <c r="K212" s="86">
        <v>1</v>
      </c>
      <c r="L212" s="82" t="s">
        <v>273</v>
      </c>
      <c r="M212" s="82"/>
      <c r="N212" s="83" t="s">
        <v>284</v>
      </c>
      <c r="O212" s="4" t="s">
        <v>274</v>
      </c>
    </row>
    <row r="213" spans="1:15" ht="15.75" x14ac:dyDescent="0.25">
      <c r="A213" s="80">
        <f t="shared" si="3"/>
        <v>212</v>
      </c>
      <c r="B213" s="50" t="s">
        <v>272</v>
      </c>
      <c r="C213" s="18" t="s">
        <v>92</v>
      </c>
      <c r="D213" s="126">
        <v>45666</v>
      </c>
      <c r="E213" s="82" t="s">
        <v>46</v>
      </c>
      <c r="F213" s="81"/>
      <c r="G213" s="83" t="s">
        <v>354</v>
      </c>
      <c r="H213" s="84"/>
      <c r="I213" s="85"/>
      <c r="J213" s="85"/>
      <c r="K213" s="86"/>
      <c r="L213" s="82" t="s">
        <v>273</v>
      </c>
      <c r="M213" s="82"/>
      <c r="N213" s="83"/>
      <c r="O213" s="4" t="s">
        <v>274</v>
      </c>
    </row>
    <row r="214" spans="1:15" ht="15.75" x14ac:dyDescent="0.25">
      <c r="A214" s="80">
        <f t="shared" si="3"/>
        <v>213</v>
      </c>
      <c r="B214" s="50" t="s">
        <v>272</v>
      </c>
      <c r="C214" s="18">
        <v>10</v>
      </c>
      <c r="D214" s="126">
        <v>45671</v>
      </c>
      <c r="E214" s="82" t="s">
        <v>46</v>
      </c>
      <c r="F214" s="81"/>
      <c r="G214" s="83"/>
      <c r="H214" s="84"/>
      <c r="I214" s="85"/>
      <c r="J214" s="85"/>
      <c r="K214" s="86"/>
      <c r="L214" s="82" t="s">
        <v>273</v>
      </c>
      <c r="M214" s="82"/>
      <c r="N214" s="83"/>
      <c r="O214" s="4" t="s">
        <v>274</v>
      </c>
    </row>
    <row r="215" spans="1:15" ht="15.75" x14ac:dyDescent="0.25">
      <c r="A215" s="80">
        <f t="shared" si="3"/>
        <v>214</v>
      </c>
      <c r="B215" s="50" t="s">
        <v>272</v>
      </c>
      <c r="C215" s="18">
        <v>11</v>
      </c>
      <c r="D215" s="126">
        <v>45672</v>
      </c>
      <c r="E215" s="82" t="s">
        <v>36</v>
      </c>
      <c r="F215" s="81" t="s">
        <v>42</v>
      </c>
      <c r="G215" s="83" t="s">
        <v>264</v>
      </c>
      <c r="H215" s="84"/>
      <c r="I215" s="85">
        <v>45672.337500000001</v>
      </c>
      <c r="J215" s="85">
        <v>45672.418055555558</v>
      </c>
      <c r="K215" s="86">
        <v>1</v>
      </c>
      <c r="L215" s="82" t="s">
        <v>273</v>
      </c>
      <c r="M215" s="82"/>
      <c r="N215" s="83"/>
      <c r="O215" s="4" t="s">
        <v>274</v>
      </c>
    </row>
    <row r="216" spans="1:15" ht="57" x14ac:dyDescent="0.25">
      <c r="A216" s="80">
        <f t="shared" si="3"/>
        <v>215</v>
      </c>
      <c r="B216" s="50" t="s">
        <v>272</v>
      </c>
      <c r="C216" s="18">
        <v>12</v>
      </c>
      <c r="D216" s="126">
        <v>45672</v>
      </c>
      <c r="E216" s="82" t="s">
        <v>46</v>
      </c>
      <c r="F216" s="81"/>
      <c r="G216" s="109" t="s">
        <v>355</v>
      </c>
      <c r="H216" s="84"/>
      <c r="I216" s="85"/>
      <c r="J216" s="85"/>
      <c r="K216" s="86"/>
      <c r="L216" s="82" t="s">
        <v>273</v>
      </c>
      <c r="M216" s="82"/>
      <c r="N216" s="83" t="s">
        <v>356</v>
      </c>
      <c r="O216" s="4" t="s">
        <v>274</v>
      </c>
    </row>
    <row r="217" spans="1:15" ht="15.75" x14ac:dyDescent="0.25">
      <c r="A217" s="80">
        <f t="shared" si="3"/>
        <v>216</v>
      </c>
      <c r="B217" s="50" t="s">
        <v>272</v>
      </c>
      <c r="C217" s="18">
        <v>13</v>
      </c>
      <c r="D217" s="126">
        <v>45673</v>
      </c>
      <c r="E217" s="82" t="s">
        <v>36</v>
      </c>
      <c r="F217" s="81" t="s">
        <v>42</v>
      </c>
      <c r="G217" s="83" t="s">
        <v>264</v>
      </c>
      <c r="H217" s="84"/>
      <c r="I217" s="85">
        <v>45673.349305555559</v>
      </c>
      <c r="J217" s="85">
        <v>45673.407638888886</v>
      </c>
      <c r="K217" s="86">
        <v>1</v>
      </c>
      <c r="L217" s="82" t="s">
        <v>273</v>
      </c>
      <c r="M217" s="82"/>
      <c r="N217" s="83"/>
      <c r="O217" s="4" t="s">
        <v>274</v>
      </c>
    </row>
    <row r="218" spans="1:15" ht="15.75" x14ac:dyDescent="0.25">
      <c r="A218" s="80">
        <f t="shared" si="3"/>
        <v>217</v>
      </c>
      <c r="B218" s="50" t="s">
        <v>272</v>
      </c>
      <c r="C218" s="18">
        <v>14</v>
      </c>
      <c r="D218" s="126">
        <v>45673</v>
      </c>
      <c r="E218" s="82" t="s">
        <v>46</v>
      </c>
      <c r="F218" s="81"/>
      <c r="G218" s="83" t="s">
        <v>275</v>
      </c>
      <c r="H218" s="84"/>
      <c r="I218" s="85"/>
      <c r="J218" s="85">
        <v>45674.13958333333</v>
      </c>
      <c r="K218" s="86"/>
      <c r="L218" s="82" t="s">
        <v>273</v>
      </c>
      <c r="M218" s="82"/>
      <c r="N218" s="83"/>
      <c r="O218" s="4" t="s">
        <v>274</v>
      </c>
    </row>
    <row r="219" spans="1:15" ht="15.75" x14ac:dyDescent="0.25">
      <c r="A219" s="80">
        <f t="shared" si="3"/>
        <v>218</v>
      </c>
      <c r="B219" s="50" t="s">
        <v>272</v>
      </c>
      <c r="C219" s="18">
        <v>15</v>
      </c>
      <c r="D219" s="126">
        <v>45680</v>
      </c>
      <c r="E219" s="82" t="s">
        <v>36</v>
      </c>
      <c r="F219" s="81" t="s">
        <v>65</v>
      </c>
      <c r="G219" s="83" t="s">
        <v>276</v>
      </c>
      <c r="H219" s="84"/>
      <c r="I219" s="85"/>
      <c r="J219" s="85"/>
      <c r="K219" s="86"/>
      <c r="L219" s="82" t="s">
        <v>273</v>
      </c>
      <c r="M219" s="82"/>
      <c r="N219" s="83"/>
      <c r="O219" s="4" t="s">
        <v>274</v>
      </c>
    </row>
    <row r="220" spans="1:15" ht="15.75" x14ac:dyDescent="0.25">
      <c r="A220" s="80">
        <f t="shared" si="3"/>
        <v>219</v>
      </c>
      <c r="B220" s="50" t="s">
        <v>272</v>
      </c>
      <c r="C220" s="18">
        <v>16</v>
      </c>
      <c r="D220" s="126">
        <v>45680</v>
      </c>
      <c r="E220" s="82" t="s">
        <v>36</v>
      </c>
      <c r="F220" s="81" t="s">
        <v>42</v>
      </c>
      <c r="G220" s="83" t="s">
        <v>264</v>
      </c>
      <c r="H220" s="84"/>
      <c r="I220" s="85">
        <v>45680.340277777781</v>
      </c>
      <c r="J220" s="85">
        <v>45680.42083333333</v>
      </c>
      <c r="K220" s="86">
        <v>1</v>
      </c>
      <c r="L220" s="82" t="s">
        <v>273</v>
      </c>
      <c r="M220" s="82"/>
      <c r="N220" s="83"/>
      <c r="O220" s="4" t="s">
        <v>274</v>
      </c>
    </row>
    <row r="221" spans="1:15" ht="15.75" x14ac:dyDescent="0.25">
      <c r="A221" s="80">
        <f t="shared" si="3"/>
        <v>220</v>
      </c>
      <c r="B221" s="50" t="s">
        <v>272</v>
      </c>
      <c r="C221" s="18">
        <v>17</v>
      </c>
      <c r="D221" s="126">
        <v>45681</v>
      </c>
      <c r="E221" s="82" t="s">
        <v>36</v>
      </c>
      <c r="F221" s="81" t="s">
        <v>42</v>
      </c>
      <c r="G221" s="83" t="s">
        <v>264</v>
      </c>
      <c r="H221" s="84"/>
      <c r="I221" s="85">
        <v>45681.315972222219</v>
      </c>
      <c r="J221" s="85">
        <v>45681.37777777778</v>
      </c>
      <c r="K221" s="86">
        <v>1</v>
      </c>
      <c r="L221" s="82" t="s">
        <v>273</v>
      </c>
      <c r="M221" s="82"/>
      <c r="N221" s="83"/>
      <c r="O221" s="4" t="s">
        <v>274</v>
      </c>
    </row>
    <row r="222" spans="1:15" ht="28.5" x14ac:dyDescent="0.25">
      <c r="A222" s="80">
        <f t="shared" si="3"/>
        <v>221</v>
      </c>
      <c r="B222" s="50" t="s">
        <v>272</v>
      </c>
      <c r="C222" s="18">
        <v>18</v>
      </c>
      <c r="D222" s="126">
        <v>45681</v>
      </c>
      <c r="E222" s="82" t="s">
        <v>46</v>
      </c>
      <c r="F222" s="81"/>
      <c r="G222" s="83" t="s">
        <v>353</v>
      </c>
      <c r="H222" s="84"/>
      <c r="I222" s="85"/>
      <c r="J222" s="85"/>
      <c r="K222" s="86"/>
      <c r="L222" s="82" t="s">
        <v>273</v>
      </c>
      <c r="M222" s="82"/>
      <c r="N222" s="83"/>
      <c r="O222" s="4" t="s">
        <v>274</v>
      </c>
    </row>
    <row r="223" spans="1:15" ht="15.75" x14ac:dyDescent="0.25">
      <c r="A223" s="80">
        <f t="shared" si="3"/>
        <v>222</v>
      </c>
      <c r="B223" s="50" t="s">
        <v>272</v>
      </c>
      <c r="C223" s="18">
        <v>19</v>
      </c>
      <c r="D223" s="126">
        <v>45715</v>
      </c>
      <c r="E223" s="82" t="s">
        <v>36</v>
      </c>
      <c r="F223" s="81" t="s">
        <v>42</v>
      </c>
      <c r="G223" s="83" t="s">
        <v>264</v>
      </c>
      <c r="H223" s="84"/>
      <c r="I223" s="85">
        <v>45715.365972222222</v>
      </c>
      <c r="J223" s="85">
        <v>45715.410416666666</v>
      </c>
      <c r="K223" s="86">
        <v>1</v>
      </c>
      <c r="L223" s="82" t="s">
        <v>273</v>
      </c>
      <c r="M223" s="82"/>
      <c r="N223" s="83"/>
      <c r="O223" s="4" t="s">
        <v>274</v>
      </c>
    </row>
    <row r="224" spans="1:15" ht="15.75" x14ac:dyDescent="0.25">
      <c r="A224" s="80">
        <f t="shared" si="3"/>
        <v>223</v>
      </c>
      <c r="B224" s="50" t="s">
        <v>272</v>
      </c>
      <c r="C224" s="18">
        <v>20</v>
      </c>
      <c r="D224" s="126">
        <v>45715</v>
      </c>
      <c r="E224" s="82" t="s">
        <v>46</v>
      </c>
      <c r="F224" s="81"/>
      <c r="G224" s="83"/>
      <c r="H224" s="84"/>
      <c r="I224" s="85"/>
      <c r="J224" s="85"/>
      <c r="K224" s="86"/>
      <c r="L224" s="82" t="s">
        <v>273</v>
      </c>
      <c r="M224" s="82"/>
      <c r="N224" s="83"/>
      <c r="O224" s="4" t="s">
        <v>274</v>
      </c>
    </row>
    <row r="225" spans="1:15" ht="15.75" x14ac:dyDescent="0.25">
      <c r="A225" s="80">
        <f t="shared" si="3"/>
        <v>224</v>
      </c>
      <c r="B225" s="50" t="s">
        <v>272</v>
      </c>
      <c r="C225" s="19">
        <v>21</v>
      </c>
      <c r="D225" s="126">
        <v>45721</v>
      </c>
      <c r="E225" s="82" t="s">
        <v>46</v>
      </c>
      <c r="F225" s="81"/>
      <c r="G225" s="83"/>
      <c r="H225" s="84"/>
      <c r="I225" s="85"/>
      <c r="J225" s="85"/>
      <c r="K225" s="86"/>
      <c r="L225" s="82" t="s">
        <v>273</v>
      </c>
      <c r="M225" s="82"/>
      <c r="N225" s="83"/>
      <c r="O225" s="4" t="s">
        <v>274</v>
      </c>
    </row>
    <row r="226" spans="1:15" ht="15.75" x14ac:dyDescent="0.25">
      <c r="A226" s="80">
        <f t="shared" si="3"/>
        <v>225</v>
      </c>
      <c r="B226" s="50" t="s">
        <v>272</v>
      </c>
      <c r="C226" s="19">
        <v>22</v>
      </c>
      <c r="D226" s="126">
        <v>45721</v>
      </c>
      <c r="E226" s="82" t="s">
        <v>46</v>
      </c>
      <c r="F226" s="81"/>
      <c r="G226" s="83"/>
      <c r="H226" s="84"/>
      <c r="I226" s="85"/>
      <c r="J226" s="85"/>
      <c r="K226" s="86"/>
      <c r="L226" s="82" t="s">
        <v>273</v>
      </c>
      <c r="M226" s="82"/>
      <c r="N226" s="83"/>
      <c r="O226" s="4" t="s">
        <v>274</v>
      </c>
    </row>
    <row r="227" spans="1:15" ht="15.75" x14ac:dyDescent="0.25">
      <c r="A227" s="80">
        <f t="shared" si="3"/>
        <v>226</v>
      </c>
      <c r="B227" s="51" t="s">
        <v>285</v>
      </c>
      <c r="C227" s="18" t="s">
        <v>35</v>
      </c>
      <c r="D227" s="126">
        <v>45252</v>
      </c>
      <c r="E227" s="82" t="s">
        <v>46</v>
      </c>
      <c r="F227" s="81"/>
      <c r="G227" s="83" t="s">
        <v>281</v>
      </c>
      <c r="H227" s="84"/>
      <c r="I227" s="85"/>
      <c r="J227" s="85"/>
      <c r="K227" s="86"/>
      <c r="L227" s="82" t="s">
        <v>287</v>
      </c>
      <c r="M227" s="82"/>
      <c r="N227" s="83"/>
      <c r="O227" s="4" t="s">
        <v>288</v>
      </c>
    </row>
    <row r="228" spans="1:15" ht="15.75" x14ac:dyDescent="0.25">
      <c r="A228" s="80">
        <f t="shared" si="3"/>
        <v>227</v>
      </c>
      <c r="B228" s="51" t="s">
        <v>285</v>
      </c>
      <c r="C228" s="18" t="s">
        <v>41</v>
      </c>
      <c r="D228" s="126">
        <v>45252</v>
      </c>
      <c r="E228" s="82" t="s">
        <v>46</v>
      </c>
      <c r="F228" s="81"/>
      <c r="G228" s="83" t="s">
        <v>303</v>
      </c>
      <c r="H228" s="84"/>
      <c r="I228" s="85"/>
      <c r="J228" s="85"/>
      <c r="K228" s="86"/>
      <c r="L228" s="82" t="s">
        <v>287</v>
      </c>
      <c r="M228" s="82"/>
      <c r="N228" s="83"/>
      <c r="O228" s="4" t="s">
        <v>288</v>
      </c>
    </row>
    <row r="229" spans="1:15" ht="15.75" x14ac:dyDescent="0.25">
      <c r="A229" s="80">
        <f t="shared" si="3"/>
        <v>228</v>
      </c>
      <c r="B229" s="51" t="s">
        <v>285</v>
      </c>
      <c r="C229" s="18" t="s">
        <v>45</v>
      </c>
      <c r="D229" s="126">
        <v>45275</v>
      </c>
      <c r="E229" s="82" t="s">
        <v>36</v>
      </c>
      <c r="F229" s="6" t="s">
        <v>247</v>
      </c>
      <c r="G229" s="83" t="s">
        <v>304</v>
      </c>
      <c r="H229" s="84"/>
      <c r="I229" s="85"/>
      <c r="J229" s="85"/>
      <c r="K229" s="86"/>
      <c r="L229" s="82" t="s">
        <v>287</v>
      </c>
      <c r="M229" s="82"/>
      <c r="N229" s="83"/>
      <c r="O229" s="4" t="s">
        <v>288</v>
      </c>
    </row>
    <row r="230" spans="1:15" ht="15.75" x14ac:dyDescent="0.25">
      <c r="A230" s="80">
        <f t="shared" si="3"/>
        <v>229</v>
      </c>
      <c r="B230" s="51" t="s">
        <v>285</v>
      </c>
      <c r="C230" s="18" t="s">
        <v>67</v>
      </c>
      <c r="D230" s="126">
        <v>45336</v>
      </c>
      <c r="E230" s="82" t="s">
        <v>46</v>
      </c>
      <c r="F230" s="81"/>
      <c r="G230" s="83"/>
      <c r="H230" s="84"/>
      <c r="I230" s="85"/>
      <c r="J230" s="85"/>
      <c r="K230" s="86"/>
      <c r="L230" s="82" t="s">
        <v>287</v>
      </c>
      <c r="M230" s="82"/>
      <c r="N230" s="83"/>
      <c r="O230" s="4" t="s">
        <v>288</v>
      </c>
    </row>
    <row r="231" spans="1:15" ht="15.75" x14ac:dyDescent="0.25">
      <c r="A231" s="80">
        <f t="shared" si="3"/>
        <v>230</v>
      </c>
      <c r="B231" s="51" t="s">
        <v>285</v>
      </c>
      <c r="C231" s="18" t="s">
        <v>70</v>
      </c>
      <c r="D231" s="126">
        <v>45336</v>
      </c>
      <c r="E231" s="82" t="s">
        <v>36</v>
      </c>
      <c r="F231" s="81" t="s">
        <v>305</v>
      </c>
      <c r="G231" s="83" t="s">
        <v>306</v>
      </c>
      <c r="H231" s="84"/>
      <c r="I231" s="85"/>
      <c r="J231" s="85"/>
      <c r="K231" s="86"/>
      <c r="L231" s="82" t="s">
        <v>287</v>
      </c>
      <c r="M231" s="82"/>
      <c r="N231" s="83"/>
      <c r="O231" s="4" t="s">
        <v>288</v>
      </c>
    </row>
    <row r="232" spans="1:15" ht="15.75" x14ac:dyDescent="0.25">
      <c r="A232" s="80">
        <f t="shared" si="3"/>
        <v>231</v>
      </c>
      <c r="B232" s="51" t="s">
        <v>285</v>
      </c>
      <c r="C232" s="18" t="s">
        <v>72</v>
      </c>
      <c r="D232" s="126">
        <v>45337</v>
      </c>
      <c r="E232" s="82" t="s">
        <v>46</v>
      </c>
      <c r="F232" s="81"/>
      <c r="G232" s="83"/>
      <c r="H232" s="84"/>
      <c r="I232" s="85"/>
      <c r="J232" s="85"/>
      <c r="K232" s="86"/>
      <c r="L232" s="82" t="s">
        <v>287</v>
      </c>
      <c r="M232" s="82"/>
      <c r="N232" s="83"/>
      <c r="O232" s="4" t="s">
        <v>288</v>
      </c>
    </row>
    <row r="233" spans="1:15" ht="15.75" x14ac:dyDescent="0.25">
      <c r="A233" s="80">
        <f t="shared" si="3"/>
        <v>232</v>
      </c>
      <c r="B233" s="51" t="s">
        <v>285</v>
      </c>
      <c r="C233" s="18" t="s">
        <v>74</v>
      </c>
      <c r="D233" s="126">
        <v>45337</v>
      </c>
      <c r="E233" s="82" t="s">
        <v>46</v>
      </c>
      <c r="F233" s="81"/>
      <c r="G233" s="83"/>
      <c r="H233" s="84"/>
      <c r="I233" s="85"/>
      <c r="J233" s="85"/>
      <c r="K233" s="86"/>
      <c r="L233" s="82" t="s">
        <v>287</v>
      </c>
      <c r="M233" s="82"/>
      <c r="N233" s="83"/>
      <c r="O233" s="4" t="s">
        <v>288</v>
      </c>
    </row>
    <row r="234" spans="1:15" ht="143.25" x14ac:dyDescent="0.25">
      <c r="A234" s="80">
        <f t="shared" si="3"/>
        <v>233</v>
      </c>
      <c r="B234" s="51" t="s">
        <v>285</v>
      </c>
      <c r="C234" s="18" t="s">
        <v>77</v>
      </c>
      <c r="D234" s="126">
        <v>45469</v>
      </c>
      <c r="E234" s="82" t="s">
        <v>36</v>
      </c>
      <c r="F234" s="81" t="s">
        <v>42</v>
      </c>
      <c r="G234" s="83" t="s">
        <v>307</v>
      </c>
      <c r="H234" s="84"/>
      <c r="I234" s="85">
        <v>45469.38958333333</v>
      </c>
      <c r="J234" s="85">
        <v>45469.673611111109</v>
      </c>
      <c r="K234" s="86"/>
      <c r="L234" s="82" t="s">
        <v>287</v>
      </c>
      <c r="M234" s="82"/>
      <c r="N234" s="83" t="s">
        <v>308</v>
      </c>
      <c r="O234" s="4" t="s">
        <v>288</v>
      </c>
    </row>
    <row r="235" spans="1:15" ht="15.75" x14ac:dyDescent="0.25">
      <c r="A235" s="80">
        <f t="shared" si="3"/>
        <v>234</v>
      </c>
      <c r="B235" s="51" t="s">
        <v>285</v>
      </c>
      <c r="C235" s="18" t="s">
        <v>92</v>
      </c>
      <c r="D235" s="126">
        <v>45470</v>
      </c>
      <c r="E235" s="82" t="s">
        <v>46</v>
      </c>
      <c r="F235" s="81"/>
      <c r="G235" s="109" t="s">
        <v>310</v>
      </c>
      <c r="H235" s="84"/>
      <c r="I235" s="85"/>
      <c r="J235" s="85"/>
      <c r="K235" s="86"/>
      <c r="L235" s="82" t="s">
        <v>287</v>
      </c>
      <c r="M235" s="82"/>
      <c r="N235" s="83"/>
      <c r="O235" s="4" t="s">
        <v>288</v>
      </c>
    </row>
    <row r="236" spans="1:15" ht="28.5" x14ac:dyDescent="0.25">
      <c r="A236" s="80">
        <f t="shared" si="3"/>
        <v>235</v>
      </c>
      <c r="B236" s="51" t="s">
        <v>285</v>
      </c>
      <c r="C236" s="18">
        <v>10</v>
      </c>
      <c r="D236" s="126" t="s">
        <v>64</v>
      </c>
      <c r="E236" s="82" t="s">
        <v>36</v>
      </c>
      <c r="F236" s="81" t="s">
        <v>42</v>
      </c>
      <c r="G236" s="83" t="s">
        <v>286</v>
      </c>
      <c r="H236" s="84"/>
      <c r="I236" s="85"/>
      <c r="J236" s="85"/>
      <c r="K236" s="86"/>
      <c r="L236" s="82" t="s">
        <v>287</v>
      </c>
      <c r="M236" s="82"/>
      <c r="N236" s="83"/>
      <c r="O236" s="4" t="s">
        <v>288</v>
      </c>
    </row>
    <row r="237" spans="1:15" ht="15.75" x14ac:dyDescent="0.25">
      <c r="A237" s="80">
        <f t="shared" si="3"/>
        <v>236</v>
      </c>
      <c r="B237" s="51" t="s">
        <v>285</v>
      </c>
      <c r="C237" s="18">
        <v>11</v>
      </c>
      <c r="D237" s="126">
        <v>45471</v>
      </c>
      <c r="E237" s="82" t="s">
        <v>36</v>
      </c>
      <c r="F237" s="81" t="s">
        <v>42</v>
      </c>
      <c r="G237" s="83" t="s">
        <v>289</v>
      </c>
      <c r="H237" s="84"/>
      <c r="I237" s="85"/>
      <c r="J237" s="85"/>
      <c r="K237" s="86"/>
      <c r="L237" s="82" t="s">
        <v>287</v>
      </c>
      <c r="M237" s="82"/>
      <c r="N237" s="83"/>
      <c r="O237" s="4" t="s">
        <v>288</v>
      </c>
    </row>
    <row r="238" spans="1:15" ht="28.5" x14ac:dyDescent="0.25">
      <c r="A238" s="80">
        <f t="shared" si="3"/>
        <v>237</v>
      </c>
      <c r="B238" s="51" t="s">
        <v>285</v>
      </c>
      <c r="C238" s="18">
        <v>12</v>
      </c>
      <c r="D238" s="126">
        <v>45475</v>
      </c>
      <c r="E238" s="82" t="s">
        <v>36</v>
      </c>
      <c r="F238" s="81" t="s">
        <v>42</v>
      </c>
      <c r="G238" s="83" t="s">
        <v>290</v>
      </c>
      <c r="H238" s="84"/>
      <c r="I238" s="85">
        <v>45475.300694444442</v>
      </c>
      <c r="J238" s="85">
        <v>45475.364583333336</v>
      </c>
      <c r="K238" s="86">
        <v>1</v>
      </c>
      <c r="L238" s="82" t="s">
        <v>287</v>
      </c>
      <c r="M238" s="82"/>
      <c r="N238" s="83"/>
      <c r="O238" s="4" t="s">
        <v>288</v>
      </c>
    </row>
    <row r="239" spans="1:15" ht="15.75" x14ac:dyDescent="0.25">
      <c r="A239" s="80">
        <f t="shared" si="3"/>
        <v>238</v>
      </c>
      <c r="B239" s="51" t="s">
        <v>285</v>
      </c>
      <c r="C239" s="18">
        <v>13</v>
      </c>
      <c r="D239" s="126">
        <v>45476</v>
      </c>
      <c r="E239" s="82" t="s">
        <v>36</v>
      </c>
      <c r="F239" s="6" t="s">
        <v>266</v>
      </c>
      <c r="G239" s="83"/>
      <c r="H239" s="84"/>
      <c r="I239" s="85"/>
      <c r="J239" s="85"/>
      <c r="K239" s="86"/>
      <c r="L239" s="82" t="s">
        <v>287</v>
      </c>
      <c r="M239" s="82"/>
      <c r="N239" s="83"/>
      <c r="O239" s="4" t="s">
        <v>288</v>
      </c>
    </row>
    <row r="240" spans="1:15" ht="15.75" x14ac:dyDescent="0.25">
      <c r="A240" s="80">
        <f t="shared" si="3"/>
        <v>239</v>
      </c>
      <c r="B240" s="51" t="s">
        <v>285</v>
      </c>
      <c r="C240" s="18">
        <v>14</v>
      </c>
      <c r="D240" s="126">
        <v>45482</v>
      </c>
      <c r="E240" s="82" t="s">
        <v>36</v>
      </c>
      <c r="F240" s="81" t="s">
        <v>42</v>
      </c>
      <c r="G240" s="83" t="s">
        <v>291</v>
      </c>
      <c r="H240" s="84"/>
      <c r="I240" s="85">
        <v>45482.305555555555</v>
      </c>
      <c r="J240" s="85">
        <v>45481.4</v>
      </c>
      <c r="K240" s="86">
        <v>1</v>
      </c>
      <c r="L240" s="82" t="s">
        <v>287</v>
      </c>
      <c r="M240" s="82"/>
      <c r="N240" s="83"/>
      <c r="O240" s="4" t="s">
        <v>288</v>
      </c>
    </row>
    <row r="241" spans="1:15" ht="28.5" x14ac:dyDescent="0.25">
      <c r="A241" s="80">
        <f t="shared" si="3"/>
        <v>240</v>
      </c>
      <c r="B241" s="51" t="s">
        <v>285</v>
      </c>
      <c r="C241" s="18">
        <v>15</v>
      </c>
      <c r="D241" s="126">
        <v>45483</v>
      </c>
      <c r="E241" s="82" t="s">
        <v>36</v>
      </c>
      <c r="F241" s="81" t="s">
        <v>42</v>
      </c>
      <c r="G241" s="83" t="s">
        <v>292</v>
      </c>
      <c r="H241" s="84"/>
      <c r="I241" s="85">
        <v>45483.314583333333</v>
      </c>
      <c r="J241" s="85">
        <v>45483.405555555553</v>
      </c>
      <c r="K241" s="86">
        <v>1</v>
      </c>
      <c r="L241" s="82" t="s">
        <v>287</v>
      </c>
      <c r="M241" s="82"/>
      <c r="N241" s="83"/>
      <c r="O241" s="4" t="s">
        <v>288</v>
      </c>
    </row>
    <row r="242" spans="1:15" ht="15.75" x14ac:dyDescent="0.25">
      <c r="A242" s="80">
        <f t="shared" si="3"/>
        <v>241</v>
      </c>
      <c r="B242" s="51" t="s">
        <v>285</v>
      </c>
      <c r="C242" s="18">
        <v>16</v>
      </c>
      <c r="D242" s="126">
        <v>45484</v>
      </c>
      <c r="E242" s="82" t="s">
        <v>46</v>
      </c>
      <c r="F242" s="81"/>
      <c r="G242" s="71" t="s">
        <v>350</v>
      </c>
      <c r="H242" s="84"/>
      <c r="I242" s="85"/>
      <c r="J242" s="85"/>
      <c r="K242" s="86"/>
      <c r="L242" s="82" t="s">
        <v>287</v>
      </c>
      <c r="M242" s="82"/>
      <c r="N242" s="83"/>
      <c r="O242" s="4" t="s">
        <v>288</v>
      </c>
    </row>
    <row r="243" spans="1:15" ht="15.75" x14ac:dyDescent="0.25">
      <c r="A243" s="80">
        <f t="shared" si="3"/>
        <v>242</v>
      </c>
      <c r="B243" s="51" t="s">
        <v>285</v>
      </c>
      <c r="C243" s="18">
        <v>17</v>
      </c>
      <c r="D243" s="126" t="s">
        <v>64</v>
      </c>
      <c r="E243" s="82" t="s">
        <v>36</v>
      </c>
      <c r="F243" s="81" t="s">
        <v>65</v>
      </c>
      <c r="G243" s="83" t="s">
        <v>293</v>
      </c>
      <c r="H243" s="84"/>
      <c r="I243" s="85"/>
      <c r="J243" s="85"/>
      <c r="K243" s="86"/>
      <c r="L243" s="82" t="s">
        <v>287</v>
      </c>
      <c r="M243" s="82"/>
      <c r="N243" s="83"/>
      <c r="O243" s="4" t="s">
        <v>288</v>
      </c>
    </row>
    <row r="244" spans="1:15" ht="15.75" x14ac:dyDescent="0.25">
      <c r="A244" s="80">
        <f t="shared" si="3"/>
        <v>243</v>
      </c>
      <c r="B244" s="51" t="s">
        <v>285</v>
      </c>
      <c r="C244" s="18">
        <v>18</v>
      </c>
      <c r="D244" s="126">
        <v>45505</v>
      </c>
      <c r="E244" s="82" t="s">
        <v>46</v>
      </c>
      <c r="F244" s="81"/>
      <c r="G244" s="109" t="s">
        <v>311</v>
      </c>
      <c r="H244" s="84"/>
      <c r="I244" s="85"/>
      <c r="J244" s="85"/>
      <c r="K244" s="86"/>
      <c r="L244" s="82" t="s">
        <v>287</v>
      </c>
      <c r="M244" s="82"/>
      <c r="N244" s="83"/>
      <c r="O244" s="4" t="s">
        <v>288</v>
      </c>
    </row>
    <row r="245" spans="1:15" ht="15.75" x14ac:dyDescent="0.25">
      <c r="A245" s="80">
        <f t="shared" si="3"/>
        <v>244</v>
      </c>
      <c r="B245" s="51" t="s">
        <v>285</v>
      </c>
      <c r="C245" s="18">
        <v>19</v>
      </c>
      <c r="D245" s="126">
        <v>45506</v>
      </c>
      <c r="E245" s="82" t="s">
        <v>36</v>
      </c>
      <c r="F245" s="6" t="s">
        <v>37</v>
      </c>
      <c r="G245" s="83" t="s">
        <v>294</v>
      </c>
      <c r="H245" s="84"/>
      <c r="I245" s="85"/>
      <c r="J245" s="85"/>
      <c r="K245" s="86"/>
      <c r="L245" s="82" t="s">
        <v>287</v>
      </c>
      <c r="M245" s="82"/>
      <c r="N245" s="83"/>
      <c r="O245" s="4" t="s">
        <v>288</v>
      </c>
    </row>
    <row r="246" spans="1:15" ht="15.75" x14ac:dyDescent="0.25">
      <c r="A246" s="80">
        <f t="shared" si="3"/>
        <v>245</v>
      </c>
      <c r="B246" s="51" t="s">
        <v>285</v>
      </c>
      <c r="C246" s="18">
        <v>20</v>
      </c>
      <c r="D246" s="126">
        <v>45506</v>
      </c>
      <c r="E246" s="82" t="s">
        <v>36</v>
      </c>
      <c r="F246" s="81" t="s">
        <v>42</v>
      </c>
      <c r="G246" s="83" t="s">
        <v>295</v>
      </c>
      <c r="H246" s="84"/>
      <c r="I246" s="85"/>
      <c r="J246" s="85">
        <v>45506.210416666669</v>
      </c>
      <c r="K246" s="86"/>
      <c r="L246" s="82" t="s">
        <v>287</v>
      </c>
      <c r="M246" s="82"/>
      <c r="N246" s="83"/>
      <c r="O246" s="4" t="s">
        <v>288</v>
      </c>
    </row>
    <row r="247" spans="1:15" ht="15.75" x14ac:dyDescent="0.25">
      <c r="A247" s="80">
        <f t="shared" si="3"/>
        <v>246</v>
      </c>
      <c r="B247" s="51" t="s">
        <v>285</v>
      </c>
      <c r="C247" s="18">
        <v>21</v>
      </c>
      <c r="D247" s="126">
        <v>45510</v>
      </c>
      <c r="E247" s="82" t="s">
        <v>36</v>
      </c>
      <c r="F247" s="6" t="s">
        <v>37</v>
      </c>
      <c r="G247" s="83" t="s">
        <v>296</v>
      </c>
      <c r="H247" s="84"/>
      <c r="I247" s="85"/>
      <c r="J247" s="85"/>
      <c r="K247" s="86"/>
      <c r="L247" s="82" t="s">
        <v>287</v>
      </c>
      <c r="M247" s="82"/>
      <c r="N247" s="83"/>
      <c r="O247" s="4" t="s">
        <v>288</v>
      </c>
    </row>
    <row r="248" spans="1:15" ht="171" x14ac:dyDescent="0.25">
      <c r="A248" s="80">
        <f t="shared" si="3"/>
        <v>247</v>
      </c>
      <c r="B248" s="51" t="s">
        <v>285</v>
      </c>
      <c r="C248" s="18">
        <v>22</v>
      </c>
      <c r="D248" s="126">
        <v>45510</v>
      </c>
      <c r="E248" s="82" t="s">
        <v>36</v>
      </c>
      <c r="F248" s="81" t="s">
        <v>247</v>
      </c>
      <c r="G248" s="83" t="s">
        <v>297</v>
      </c>
      <c r="H248" s="84"/>
      <c r="I248" s="85"/>
      <c r="J248" s="85"/>
      <c r="K248" s="86"/>
      <c r="L248" s="82" t="s">
        <v>287</v>
      </c>
      <c r="M248" s="82"/>
      <c r="N248" s="83" t="s">
        <v>298</v>
      </c>
      <c r="O248" s="4" t="s">
        <v>288</v>
      </c>
    </row>
    <row r="249" spans="1:15" ht="15.75" x14ac:dyDescent="0.25">
      <c r="A249" s="80">
        <f t="shared" si="3"/>
        <v>248</v>
      </c>
      <c r="B249" s="51" t="s">
        <v>285</v>
      </c>
      <c r="C249" s="18">
        <v>23</v>
      </c>
      <c r="D249" s="126">
        <v>45511</v>
      </c>
      <c r="E249" s="82" t="s">
        <v>36</v>
      </c>
      <c r="F249" s="81" t="s">
        <v>42</v>
      </c>
      <c r="G249" s="83" t="s">
        <v>299</v>
      </c>
      <c r="H249" s="84"/>
      <c r="I249" s="85"/>
      <c r="J249" s="85"/>
      <c r="K249" s="86"/>
      <c r="L249" s="82" t="s">
        <v>287</v>
      </c>
      <c r="M249" s="82"/>
      <c r="N249" s="83"/>
      <c r="O249" s="4" t="s">
        <v>288</v>
      </c>
    </row>
    <row r="250" spans="1:15" ht="28.5" x14ac:dyDescent="0.25">
      <c r="A250" s="80">
        <f t="shared" si="3"/>
        <v>249</v>
      </c>
      <c r="B250" s="51" t="s">
        <v>285</v>
      </c>
      <c r="C250" s="18">
        <v>24</v>
      </c>
      <c r="D250" s="126">
        <v>45511</v>
      </c>
      <c r="E250" s="82" t="s">
        <v>36</v>
      </c>
      <c r="F250" s="6" t="s">
        <v>37</v>
      </c>
      <c r="G250" s="83" t="s">
        <v>300</v>
      </c>
      <c r="H250" s="84"/>
      <c r="I250" s="85"/>
      <c r="J250" s="85"/>
      <c r="K250" s="86"/>
      <c r="L250" s="82" t="s">
        <v>287</v>
      </c>
      <c r="M250" s="82"/>
      <c r="N250" s="83"/>
      <c r="O250" s="4" t="s">
        <v>288</v>
      </c>
    </row>
    <row r="251" spans="1:15" ht="42.75" x14ac:dyDescent="0.25">
      <c r="A251" s="80">
        <f t="shared" si="3"/>
        <v>250</v>
      </c>
      <c r="B251" s="51" t="s">
        <v>285</v>
      </c>
      <c r="C251" s="18">
        <v>25</v>
      </c>
      <c r="D251" s="126">
        <v>45511</v>
      </c>
      <c r="E251" s="82" t="s">
        <v>36</v>
      </c>
      <c r="F251" s="81" t="s">
        <v>42</v>
      </c>
      <c r="G251" s="83" t="s">
        <v>301</v>
      </c>
      <c r="H251" s="84"/>
      <c r="I251" s="85"/>
      <c r="J251" s="85"/>
      <c r="K251" s="86"/>
      <c r="L251" s="82" t="s">
        <v>287</v>
      </c>
      <c r="M251" s="82"/>
      <c r="N251" s="83"/>
      <c r="O251" s="4" t="s">
        <v>288</v>
      </c>
    </row>
    <row r="252" spans="1:15" ht="15.75" x14ac:dyDescent="0.25">
      <c r="A252" s="80">
        <f t="shared" si="3"/>
        <v>251</v>
      </c>
      <c r="B252" s="51" t="s">
        <v>285</v>
      </c>
      <c r="C252" s="18">
        <v>26</v>
      </c>
      <c r="D252" s="126">
        <v>45755</v>
      </c>
      <c r="E252" s="82" t="s">
        <v>46</v>
      </c>
      <c r="F252" s="71"/>
      <c r="G252" s="71" t="s">
        <v>350</v>
      </c>
      <c r="H252" s="84"/>
      <c r="I252" s="81"/>
      <c r="J252" s="85"/>
      <c r="K252" s="86"/>
      <c r="L252" s="82" t="s">
        <v>287</v>
      </c>
      <c r="M252" s="82"/>
      <c r="N252" s="83"/>
      <c r="O252" s="4" t="s">
        <v>288</v>
      </c>
    </row>
    <row r="253" spans="1:15" ht="15.75" x14ac:dyDescent="0.25">
      <c r="A253" s="80">
        <f t="shared" si="3"/>
        <v>252</v>
      </c>
      <c r="B253" s="51" t="s">
        <v>285</v>
      </c>
      <c r="C253" s="18">
        <v>27</v>
      </c>
      <c r="D253" s="126">
        <v>45756</v>
      </c>
      <c r="E253" s="82" t="s">
        <v>46</v>
      </c>
      <c r="F253" s="81"/>
      <c r="G253" s="83"/>
      <c r="H253" s="84"/>
      <c r="I253" s="81"/>
      <c r="J253" s="85"/>
      <c r="K253" s="86"/>
      <c r="L253" s="82" t="s">
        <v>287</v>
      </c>
      <c r="M253" s="82"/>
      <c r="N253" s="83"/>
      <c r="O253" s="4" t="s">
        <v>288</v>
      </c>
    </row>
    <row r="254" spans="1:15" ht="15.75" x14ac:dyDescent="0.25">
      <c r="A254" s="80">
        <f t="shared" si="3"/>
        <v>253</v>
      </c>
      <c r="B254" s="51" t="s">
        <v>285</v>
      </c>
      <c r="C254" s="18">
        <v>28</v>
      </c>
      <c r="D254" s="126">
        <v>45756</v>
      </c>
      <c r="E254" s="82" t="s">
        <v>36</v>
      </c>
      <c r="F254" s="81" t="s">
        <v>312</v>
      </c>
      <c r="G254" s="83" t="s">
        <v>302</v>
      </c>
      <c r="H254" s="84"/>
      <c r="I254" s="81"/>
      <c r="J254" s="85"/>
      <c r="K254" s="86"/>
      <c r="L254" s="82" t="s">
        <v>287</v>
      </c>
      <c r="M254" s="82"/>
      <c r="N254" s="83"/>
      <c r="O254" s="4" t="s">
        <v>288</v>
      </c>
    </row>
    <row r="255" spans="1:15" ht="15.75" x14ac:dyDescent="0.25">
      <c r="A255" s="80">
        <f t="shared" si="3"/>
        <v>254</v>
      </c>
      <c r="B255" s="51" t="s">
        <v>285</v>
      </c>
      <c r="C255" s="18">
        <v>29</v>
      </c>
      <c r="D255" s="126">
        <v>45757</v>
      </c>
      <c r="E255" s="82" t="s">
        <v>46</v>
      </c>
      <c r="F255" s="81"/>
      <c r="G255" s="83"/>
      <c r="H255" s="84"/>
      <c r="I255" s="81"/>
      <c r="J255" s="85"/>
      <c r="K255" s="86"/>
      <c r="L255" s="82" t="s">
        <v>287</v>
      </c>
      <c r="M255" s="82"/>
      <c r="N255" s="83"/>
      <c r="O255" s="4" t="s">
        <v>288</v>
      </c>
    </row>
    <row r="256" spans="1:15" ht="15.75" x14ac:dyDescent="0.25">
      <c r="A256" s="80">
        <f t="shared" si="3"/>
        <v>255</v>
      </c>
      <c r="B256" s="51" t="s">
        <v>285</v>
      </c>
      <c r="C256" s="18">
        <v>30</v>
      </c>
      <c r="D256" s="126">
        <v>45757</v>
      </c>
      <c r="E256" s="82" t="s">
        <v>46</v>
      </c>
      <c r="F256" s="81"/>
      <c r="G256" s="83"/>
      <c r="H256" s="84"/>
      <c r="I256" s="81"/>
      <c r="J256" s="85"/>
      <c r="K256" s="86"/>
      <c r="L256" s="82" t="s">
        <v>287</v>
      </c>
      <c r="M256" s="82"/>
      <c r="N256" s="83"/>
      <c r="O256" s="4" t="s">
        <v>288</v>
      </c>
    </row>
    <row r="257" spans="1:15" ht="15.75" x14ac:dyDescent="0.25">
      <c r="A257" s="80">
        <f t="shared" si="3"/>
        <v>256</v>
      </c>
      <c r="B257" s="51" t="s">
        <v>285</v>
      </c>
      <c r="C257" s="18" t="s">
        <v>309</v>
      </c>
      <c r="D257" s="126">
        <v>45762</v>
      </c>
      <c r="E257" s="82" t="s">
        <v>46</v>
      </c>
      <c r="F257" s="81"/>
      <c r="G257" s="83"/>
      <c r="H257" s="84"/>
      <c r="I257" s="81"/>
      <c r="J257" s="85"/>
      <c r="K257" s="86"/>
      <c r="L257" s="82" t="s">
        <v>287</v>
      </c>
      <c r="M257" s="82"/>
      <c r="N257" s="83"/>
      <c r="O257" s="4" t="s">
        <v>288</v>
      </c>
    </row>
    <row r="258" spans="1:15" x14ac:dyDescent="0.25">
      <c r="A258" s="105"/>
      <c r="C258" s="108"/>
      <c r="E258" s="105"/>
      <c r="K258" s="105"/>
      <c r="L258" s="106"/>
      <c r="M258" s="105"/>
      <c r="N258" s="105"/>
      <c r="O258" s="105"/>
    </row>
  </sheetData>
  <sortState xmlns:xlrd2="http://schemas.microsoft.com/office/spreadsheetml/2017/richdata2" ref="A2:O257">
    <sortCondition ref="B2:B257"/>
    <sortCondition ref="C2:C257"/>
    <sortCondition ref="D2:D257"/>
  </sortState>
  <conditionalFormatting sqref="K2:M243 K245 K249:M257">
    <cfRule type="cellIs" dxfId="6" priority="7" operator="equal">
      <formula>1</formula>
    </cfRule>
  </conditionalFormatting>
  <conditionalFormatting sqref="L244:L248">
    <cfRule type="cellIs" dxfId="5" priority="6" operator="equal">
      <formula>1</formula>
    </cfRule>
  </conditionalFormatting>
  <conditionalFormatting sqref="N164:N165">
    <cfRule type="cellIs" dxfId="4" priority="3" operator="equal">
      <formula>1</formula>
    </cfRule>
  </conditionalFormatting>
  <conditionalFormatting sqref="N30:O43">
    <cfRule type="cellIs" dxfId="3" priority="11" operator="equal">
      <formula>"Excluded"</formula>
    </cfRule>
  </conditionalFormatting>
  <conditionalFormatting sqref="N71:O72">
    <cfRule type="cellIs" dxfId="2" priority="10" operator="equal">
      <formula>"Excluded"</formula>
    </cfRule>
  </conditionalFormatting>
  <conditionalFormatting sqref="O1 D1:E257 O258:O1048576">
    <cfRule type="cellIs" dxfId="1" priority="1" operator="equal">
      <formula>"Excluded"</formula>
    </cfRule>
  </conditionalFormatting>
  <conditionalFormatting sqref="O244:O248">
    <cfRule type="cellIs" dxfId="0" priority="9" operator="equal">
      <formula>"Excluded"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 xsi:nil="true"/>
    <Purpose xmlns="7876ae4f-b1ec-4a4d-a051-9d6b88a289e3" xsi:nil="true"/>
  </documentManagement>
</p:properties>
</file>

<file path=customXml/itemProps1.xml><?xml version="1.0" encoding="utf-8"?>
<ds:datastoreItem xmlns:ds="http://schemas.openxmlformats.org/officeDocument/2006/customXml" ds:itemID="{EF1F6232-01F0-4593-9CC2-CFF8A2507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29ED83-C066-41DD-9B8D-30652CC5B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F6626-FBE4-47F2-8A2F-70921DB5570A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be5af6f-5c8e-4f88-85c2-d79f32646e78"/>
    <ds:schemaRef ds:uri="http://www.w3.org/XML/1998/namespace"/>
    <ds:schemaRef ds:uri="7876ae4f-b1ec-4a4d-a051-9d6b88a289e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Experimental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Antonio Renaldo</cp:lastModifiedBy>
  <cp:revision/>
  <dcterms:created xsi:type="dcterms:W3CDTF">2025-01-28T16:08:34Z</dcterms:created>
  <dcterms:modified xsi:type="dcterms:W3CDTF">2026-07-27T23:17:09Z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</Properties>
</file>
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B\Visualizations\New_Excels\"/>
    </mc:Choice>
  </mc:AlternateContent>
  <xr:revisionPtr revIDLastSave="0" documentId="8_{474CF48F-E64B-4DA4-A465-A2A452D9D776}" xr6:coauthVersionLast="47" xr6:coauthVersionMax="47" xr10:uidLastSave="{00000000-0000-0000-0000-000000000000}"/>
  <bookViews>
    <workbookView xWindow="-108" yWindow="-108" windowWidth="23256" windowHeight="12456" firstSheet="22" activeTab="8" xr2:uid="{5FEA6035-9DC8-4B49-A15C-C64AFA3737BD}"/>
  </bookViews>
  <sheets>
    <sheet name="B-PRC 01" sheetId="26" r:id="rId1"/>
    <sheet name="B-PRC 02" sheetId="27" r:id="rId2"/>
    <sheet name="B-PRC 03" sheetId="28" r:id="rId3"/>
    <sheet name="B-PRC 04 " sheetId="29" r:id="rId4"/>
    <sheet name="B-PRC 05" sheetId="30" r:id="rId5"/>
    <sheet name="B-PRC 06" sheetId="31" r:id="rId6"/>
    <sheet name="B-PRC 07" sheetId="32" r:id="rId7"/>
    <sheet name="B-PRC 08" sheetId="33" r:id="rId8"/>
    <sheet name="B-PRC 09" sheetId="34" r:id="rId9"/>
    <sheet name="B-PRC 10" sheetId="35" r:id="rId10"/>
    <sheet name="B-PRC 11" sheetId="36" r:id="rId11"/>
    <sheet name="B-PRC 12" sheetId="37" r:id="rId12"/>
    <sheet name="B-PRC 13" sheetId="38" r:id="rId13"/>
    <sheet name="B-PRC 14" sheetId="39" r:id="rId14"/>
    <sheet name="B-PRC 15" sheetId="40" r:id="rId15"/>
    <sheet name="B-PRC 16" sheetId="41" r:id="rId16"/>
    <sheet name="B-PRC 17" sheetId="42" r:id="rId17"/>
    <sheet name="B-PRC 18" sheetId="43" r:id="rId18"/>
    <sheet name="B-PRC 19" sheetId="44" r:id="rId19"/>
    <sheet name="B-PRC 20" sheetId="46" r:id="rId20"/>
    <sheet name="B-PRC 21" sheetId="48" r:id="rId21"/>
    <sheet name="B-PRC 22" sheetId="49" r:id="rId22"/>
    <sheet name="B-PRC 23" sheetId="50" r:id="rId23"/>
    <sheet name="Template (2)" sheetId="47" r:id="rId24"/>
    <sheet name="Template (1)" sheetId="4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48" l="1"/>
  <c r="M16" i="48"/>
  <c r="M17" i="48"/>
  <c r="M18" i="48"/>
  <c r="M19" i="48"/>
  <c r="M20" i="48"/>
  <c r="M21" i="48"/>
  <c r="M22" i="48"/>
  <c r="M23" i="48"/>
  <c r="M24" i="48"/>
  <c r="M25" i="48"/>
  <c r="M26" i="48"/>
  <c r="M15" i="47"/>
  <c r="M16" i="47"/>
  <c r="M17" i="47"/>
  <c r="M18" i="47"/>
  <c r="M19" i="47"/>
  <c r="M20" i="47"/>
  <c r="M21" i="47"/>
  <c r="M22" i="47"/>
  <c r="M23" i="47"/>
  <c r="M24" i="47"/>
  <c r="M25" i="47"/>
  <c r="M26" i="47"/>
  <c r="M15" i="43"/>
  <c r="M16" i="43"/>
  <c r="M17" i="43"/>
  <c r="M18" i="43"/>
  <c r="M19" i="43"/>
  <c r="M20" i="43"/>
  <c r="M21" i="43"/>
  <c r="M22" i="43"/>
  <c r="M23" i="43"/>
  <c r="M24" i="43"/>
  <c r="M25" i="43"/>
  <c r="M26" i="43"/>
  <c r="M15" i="42"/>
  <c r="M16" i="42"/>
  <c r="M17" i="42"/>
  <c r="M18" i="42"/>
  <c r="M19" i="42"/>
  <c r="M20" i="42"/>
  <c r="M21" i="42"/>
  <c r="M22" i="42"/>
  <c r="M23" i="42"/>
  <c r="M24" i="42"/>
  <c r="M25" i="42"/>
  <c r="M26" i="42"/>
  <c r="M15" i="41"/>
  <c r="M16" i="41"/>
  <c r="M17" i="41"/>
  <c r="M18" i="41"/>
  <c r="M19" i="41"/>
  <c r="M20" i="41"/>
  <c r="M21" i="41"/>
  <c r="M22" i="41"/>
  <c r="M23" i="41"/>
  <c r="M24" i="41"/>
  <c r="M25" i="41"/>
  <c r="M26" i="41"/>
  <c r="M15" i="33"/>
  <c r="M16" i="33"/>
  <c r="M17" i="33"/>
  <c r="M18" i="33"/>
  <c r="M19" i="33"/>
  <c r="M20" i="33"/>
  <c r="M21" i="33"/>
  <c r="M22" i="33"/>
  <c r="M23" i="33"/>
  <c r="M24" i="33"/>
  <c r="M25" i="33"/>
  <c r="M15" i="30"/>
  <c r="M16" i="30"/>
  <c r="M17" i="30"/>
  <c r="M18" i="30"/>
  <c r="M19" i="30"/>
  <c r="M20" i="30"/>
  <c r="M21" i="30"/>
  <c r="M22" i="30"/>
  <c r="M23" i="30"/>
  <c r="M24" i="30"/>
  <c r="M25" i="30"/>
  <c r="M15" i="32"/>
  <c r="M16" i="32"/>
  <c r="M17" i="32"/>
  <c r="M18" i="32"/>
  <c r="M19" i="32"/>
  <c r="M20" i="32"/>
  <c r="M21" i="32"/>
  <c r="M22" i="32"/>
  <c r="M23" i="32"/>
  <c r="M24" i="32"/>
  <c r="M25" i="32"/>
  <c r="M26" i="32"/>
  <c r="M15" i="31"/>
  <c r="M16" i="31"/>
  <c r="M17" i="31"/>
  <c r="M18" i="31"/>
  <c r="M19" i="31"/>
  <c r="M20" i="31"/>
  <c r="M21" i="31"/>
  <c r="M22" i="31"/>
  <c r="M23" i="31"/>
  <c r="M24" i="31"/>
  <c r="M25" i="31"/>
  <c r="M26" i="31"/>
  <c r="M15" i="27"/>
  <c r="M16" i="27"/>
  <c r="M17" i="27"/>
  <c r="M18" i="27"/>
  <c r="M19" i="27"/>
  <c r="M20" i="27"/>
  <c r="M21" i="27"/>
  <c r="M22" i="27"/>
  <c r="M23" i="27"/>
  <c r="M24" i="27"/>
  <c r="M25" i="26"/>
  <c r="M24" i="26"/>
  <c r="M23" i="26"/>
  <c r="M22" i="26"/>
  <c r="M21" i="26"/>
  <c r="M20" i="26"/>
  <c r="M19" i="26"/>
  <c r="M18" i="26"/>
  <c r="M17" i="26"/>
  <c r="M16" i="26"/>
  <c r="M15" i="26"/>
  <c r="M26" i="4"/>
  <c r="M25" i="4"/>
  <c r="M24" i="4"/>
  <c r="M23" i="4"/>
  <c r="M22" i="4"/>
  <c r="M21" i="4"/>
  <c r="M20" i="4"/>
  <c r="M19" i="4"/>
  <c r="M18" i="4"/>
  <c r="M17" i="4"/>
  <c r="M16" i="4"/>
  <c r="M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tc={A9B7FCFE-2ADA-E04C-A46B-1AA295312CDB}</author>
    <author>tc={7FBB881D-D650-4A46-AA90-974A47885F9E}</author>
  </authors>
  <commentList>
    <comment ref="B7" authorId="0" shapeId="0" xr:uid="{A9B7FCFE-2ADA-E04C-A46B-1AA295312CDB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P22" authorId="1" shapeId="0" xr:uid="{7FBB881D-D650-4A46-AA90-974A47885F9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tc={715DF553-1C2B-E341-B978-773C5191C93D}</author>
    <author>tc={603BF5C0-BD00-CC49-836D-CF1CAEBD11E5}</author>
  </authors>
  <commentList>
    <comment ref="AB22" authorId="0" shapeId="0" xr:uid="{715DF553-1C2B-E341-B978-773C5191C9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other data here</t>
      </text>
    </comment>
    <comment ref="B23" authorId="1" shapeId="0" xr:uid="{603BF5C0-BD00-CC49-836D-CF1CAEBD11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tc={6B64C458-30EC-DA44-8FE5-EAA4E1F1F980}</author>
    <author>tc={09AB90F0-CDFB-BD4B-B502-3ED6077220F7}</author>
  </authors>
  <commentList>
    <comment ref="B7" authorId="0" shapeId="0" xr:uid="{6B64C458-30EC-DA44-8FE5-EAA4E1F1F980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2" authorId="1" shapeId="0" xr:uid="{09AB90F0-CDFB-BD4B-B502-3ED6077220F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tc={7E3C4736-0044-E24E-8528-D5E76534E43C}</author>
    <author>tc={1DA92B19-744E-CF4E-A380-75AD5B45D963}</author>
  </authors>
  <commentList>
    <comment ref="B7" authorId="0" shapeId="0" xr:uid="{7E3C4736-0044-E24E-8528-D5E76534E43C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2" authorId="1" shapeId="0" xr:uid="{1DA92B19-744E-CF4E-A380-75AD5B45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tc={423B8F52-FE25-244D-8786-038C643DBA61}</author>
    <author>tc={A1944228-1547-3944-A465-0F532B327831}</author>
  </authors>
  <commentList>
    <comment ref="B7" authorId="0" shapeId="0" xr:uid="{423B8F52-FE25-244D-8786-038C643DBA61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2" authorId="1" shapeId="0" xr:uid="{A1944228-1547-3944-A465-0F532B32783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tc={13C3A174-F62A-EB4C-BD71-FEC7B69466B9}</author>
    <author>tc={B764CBDD-2C34-264A-A0D5-79FE5E200B02}</author>
  </authors>
  <commentList>
    <comment ref="B7" authorId="0" shapeId="0" xr:uid="{13C3A174-F62A-EB4C-BD71-FEC7B69466B9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2" authorId="1" shapeId="0" xr:uid="{B764CBDD-2C34-264A-A0D5-79FE5E200B0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tc={FF378FA9-F31E-CA47-A87A-CB68A415618F}</author>
    <author>tc={DD58DE3B-E484-4241-A24C-2B2714232592}</author>
  </authors>
  <commentList>
    <comment ref="B7" authorId="0" shapeId="0" xr:uid="{FF378FA9-F31E-CA47-A87A-CB68A415618F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2" authorId="1" shapeId="0" xr:uid="{DD58DE3B-E484-4241-A24C-2B2714232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sharedStrings.xml><?xml version="1.0" encoding="utf-8"?>
<sst xmlns="http://schemas.openxmlformats.org/spreadsheetml/2006/main" count="8749" uniqueCount="1015">
  <si>
    <t>CONCERT: Rabbit B-PRC (YR1/YR2) - UMB</t>
  </si>
  <si>
    <t>Please insert data from only 1 unit per Round</t>
  </si>
  <si>
    <t>Recipient rabbit ID:</t>
  </si>
  <si>
    <t>B-PRC 01</t>
  </si>
  <si>
    <t>Exclude rabbit?</t>
  </si>
  <si>
    <t>No</t>
  </si>
  <si>
    <t>Rabbit weight: kg</t>
  </si>
  <si>
    <t>Reason:</t>
  </si>
  <si>
    <t>Transfusion date:</t>
  </si>
  <si>
    <t>Bleed volume (mL) &amp; %:</t>
  </si>
  <si>
    <t>Transfusion volume (mL):</t>
  </si>
  <si>
    <t>Telemetry #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</si>
  <si>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</si>
  <si>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</si>
  <si>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</si>
  <si>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</si>
  <si>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</si>
  <si>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</si>
  <si>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</si>
  <si>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</si>
  <si>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</si>
  <si>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</si>
  <si>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</si>
  <si>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</si>
  <si>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</si>
  <si>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</si>
  <si>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</si>
  <si>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</si>
  <si>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</si>
  <si>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</si>
  <si>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</si>
  <si>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</si>
  <si>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</si>
  <si>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</si>
  <si>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</si>
  <si>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</si>
  <si>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</si>
  <si>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</si>
  <si>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</si>
  <si>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</si>
  <si>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</si>
  <si>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</si>
  <si>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</si>
  <si>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</si>
  <si>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</si>
  <si>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</si>
  <si>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</si>
  <si>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</si>
  <si>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</si>
  <si>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</si>
  <si>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</si>
  <si>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</si>
  <si>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</si>
  <si>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</si>
  <si>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</si>
  <si>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</si>
  <si>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</si>
  <si>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</si>
  <si>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</si>
  <si>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</si>
  <si>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</si>
  <si>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</si>
  <si>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</si>
  <si>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</si>
  <si>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</si>
  <si>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</si>
  <si>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</si>
  <si>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</si>
  <si>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</si>
  <si>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</si>
  <si>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</si>
  <si>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</si>
  <si>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</si>
  <si>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</si>
  <si>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</si>
  <si>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</si>
  <si>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</si>
  <si>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</si>
  <si>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</si>
  <si>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</si>
  <si>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</si>
  <si>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</si>
  <si>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</si>
  <si>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</si>
  <si>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</si>
  <si>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</si>
  <si>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</si>
  <si>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</si>
  <si>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</si>
  <si>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</si>
  <si>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</si>
  <si>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</si>
  <si>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</si>
  <si>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</si>
  <si>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</si>
  <si>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</si>
  <si>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</si>
  <si>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</si>
  <si>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20%</t>
  </si>
  <si>
    <t>15%</t>
  </si>
  <si>
    <t>10%</t>
  </si>
  <si>
    <t>EOB</t>
  </si>
  <si>
    <t>1 HR</t>
  </si>
  <si>
    <t>24 HR</t>
  </si>
  <si>
    <t>Pre-Death</t>
  </si>
  <si>
    <t>B-PRC 02</t>
  </si>
  <si>
    <t>Rabbit weight:</t>
  </si>
  <si>
    <t>24HR</t>
  </si>
  <si>
    <t>48HR</t>
  </si>
  <si>
    <t>B-PRC 03</t>
  </si>
  <si>
    <t>62</t>
  </si>
  <si>
    <t/>
  </si>
  <si>
    <t>5.72</t>
  </si>
  <si>
    <t>12.9</t>
  </si>
  <si>
    <t>38.8</t>
  </si>
  <si>
    <t>272</t>
  </si>
  <si>
    <t>1.6</t>
  </si>
  <si>
    <t>31</t>
  </si>
  <si>
    <t>40</t>
  </si>
  <si>
    <t>165</t>
  </si>
  <si>
    <t>0.3</t>
  </si>
  <si>
    <t>12.84</t>
  </si>
  <si>
    <t>242</t>
  </si>
  <si>
    <t>328.05</t>
  </si>
  <si>
    <t>155.27</t>
  </si>
  <si>
    <t>12</t>
  </si>
  <si>
    <t>7.6</t>
  </si>
  <si>
    <t>55.8</t>
  </si>
  <si>
    <t>37</t>
  </si>
  <si>
    <t>3.53</t>
  </si>
  <si>
    <t>8</t>
  </si>
  <si>
    <t>23.7</t>
  </si>
  <si>
    <t>181</t>
  </si>
  <si>
    <t>36</t>
  </si>
  <si>
    <t>32</t>
  </si>
  <si>
    <t>170</t>
  </si>
  <si>
    <t>0.8</t>
  </si>
  <si>
    <t>16.88</t>
  </si>
  <si>
    <t>227</t>
  </si>
  <si>
    <t>327.3</t>
  </si>
  <si>
    <t>267.27</t>
  </si>
  <si>
    <t>11</t>
  </si>
  <si>
    <t>6</t>
  </si>
  <si>
    <t>1.9</t>
  </si>
  <si>
    <t>65.9</t>
  </si>
  <si>
    <t>62.7</t>
  </si>
  <si>
    <t>10:15AM</t>
  </si>
  <si>
    <t>48</t>
  </si>
  <si>
    <t>2.5</t>
  </si>
  <si>
    <t>5.8</t>
  </si>
  <si>
    <t>16.8</t>
  </si>
  <si>
    <t>134</t>
  </si>
  <si>
    <t>9.5</t>
  </si>
  <si>
    <t>29</t>
  </si>
  <si>
    <t>129</t>
  </si>
  <si>
    <t>15.4</t>
  </si>
  <si>
    <t>242.23</t>
  </si>
  <si>
    <t>234.61</t>
  </si>
  <si>
    <t>5.4</t>
  </si>
  <si>
    <t>66.9</t>
  </si>
  <si>
    <t>61.9</t>
  </si>
  <si>
    <t>11:15AM</t>
  </si>
  <si>
    <t>55</t>
  </si>
  <si>
    <t>4.4</t>
  </si>
  <si>
    <t>28</t>
  </si>
  <si>
    <t>6.7</t>
  </si>
  <si>
    <t>5%</t>
  </si>
  <si>
    <t>1:15PM</t>
  </si>
  <si>
    <t>41</t>
  </si>
  <si>
    <t>7.9</t>
  </si>
  <si>
    <t>1:25PM</t>
  </si>
  <si>
    <t>3.31</t>
  </si>
  <si>
    <t>22.2</t>
  </si>
  <si>
    <t>100</t>
  </si>
  <si>
    <t>7.4</t>
  </si>
  <si>
    <t>58</t>
  </si>
  <si>
    <t>34</t>
  </si>
  <si>
    <t>261</t>
  </si>
  <si>
    <t>0.7</t>
  </si>
  <si>
    <t>22.33</t>
  </si>
  <si>
    <t>218</t>
  </si>
  <si>
    <t>424.73</t>
  </si>
  <si>
    <t>216.65</t>
  </si>
  <si>
    <t>5</t>
  </si>
  <si>
    <t>33</t>
  </si>
  <si>
    <t>3.12</t>
  </si>
  <si>
    <t>7.1</t>
  </si>
  <si>
    <t>20.9</t>
  </si>
  <si>
    <t>97</t>
  </si>
  <si>
    <t>6.3</t>
  </si>
  <si>
    <t>56</t>
  </si>
  <si>
    <t>219</t>
  </si>
  <si>
    <t>0.5</t>
  </si>
  <si>
    <t>22.05</t>
  </si>
  <si>
    <t>228</t>
  </si>
  <si>
    <t>476.51</t>
  </si>
  <si>
    <t>185.08</t>
  </si>
  <si>
    <t>4</t>
  </si>
  <si>
    <t>7.2</t>
  </si>
  <si>
    <t>2.8</t>
  </si>
  <si>
    <t>59.2</t>
  </si>
  <si>
    <t>67</t>
  </si>
  <si>
    <t>53</t>
  </si>
  <si>
    <t>2.34</t>
  </si>
  <si>
    <t>5.5</t>
  </si>
  <si>
    <t>15.7</t>
  </si>
  <si>
    <t>179</t>
  </si>
  <si>
    <t>2.3</t>
  </si>
  <si>
    <t>68</t>
  </si>
  <si>
    <t>75</t>
  </si>
  <si>
    <t>214</t>
  </si>
  <si>
    <t>15.59</t>
  </si>
  <si>
    <t>281</t>
  </si>
  <si>
    <t>870</t>
  </si>
  <si>
    <t>169.71</t>
  </si>
  <si>
    <t>9</t>
  </si>
  <si>
    <t>64.9</t>
  </si>
  <si>
    <t>6:10AM</t>
  </si>
  <si>
    <t>5.63</t>
  </si>
  <si>
    <t>11.9</t>
  </si>
  <si>
    <t>35.7</t>
  </si>
  <si>
    <t>232</t>
  </si>
  <si>
    <t>1.3</t>
  </si>
  <si>
    <t>52</t>
  </si>
  <si>
    <t>127</t>
  </si>
  <si>
    <t>10.58</t>
  </si>
  <si>
    <t>200</t>
  </si>
  <si>
    <t>182.44</t>
  </si>
  <si>
    <t>133.78</t>
  </si>
  <si>
    <t>10</t>
  </si>
  <si>
    <t>71.7</t>
  </si>
  <si>
    <t>11.6</t>
  </si>
  <si>
    <t>9:43AM</t>
  </si>
  <si>
    <t>3.38</t>
  </si>
  <si>
    <t>21.2</t>
  </si>
  <si>
    <t>167</t>
  </si>
  <si>
    <t>11.2</t>
  </si>
  <si>
    <t>60</t>
  </si>
  <si>
    <t>59</t>
  </si>
  <si>
    <t>298</t>
  </si>
  <si>
    <t>0.6</t>
  </si>
  <si>
    <t>19.36</t>
  </si>
  <si>
    <t>180</t>
  </si>
  <si>
    <t>267</t>
  </si>
  <si>
    <t>377.23</t>
  </si>
  <si>
    <t>9.2</t>
  </si>
  <si>
    <t>66.3</t>
  </si>
  <si>
    <t>9:53AM</t>
  </si>
  <si>
    <t>2.43</t>
  </si>
  <si>
    <t>5.3</t>
  </si>
  <si>
    <t>15.2</t>
  </si>
  <si>
    <t>138</t>
  </si>
  <si>
    <t>11.5</t>
  </si>
  <si>
    <t>18.28</t>
  </si>
  <si>
    <t>144</t>
  </si>
  <si>
    <t>205.89</t>
  </si>
  <si>
    <t>340.5</t>
  </si>
  <si>
    <t>7</t>
  </si>
  <si>
    <t>9.7</t>
  </si>
  <si>
    <t>58.5</t>
  </si>
  <si>
    <t>100:53AM</t>
  </si>
  <si>
    <t>71</t>
  </si>
  <si>
    <t>8.5</t>
  </si>
  <si>
    <t>11:53AM</t>
  </si>
  <si>
    <t>70</t>
  </si>
  <si>
    <t>10.7</t>
  </si>
  <si>
    <t>12:53PM</t>
  </si>
  <si>
    <t>8.9</t>
  </si>
  <si>
    <t>1:03PM</t>
  </si>
  <si>
    <t>3.7</t>
  </si>
  <si>
    <t>23.3</t>
  </si>
  <si>
    <t>83</t>
  </si>
  <si>
    <t>44</t>
  </si>
  <si>
    <t>276</t>
  </si>
  <si>
    <t>23.5</t>
  </si>
  <si>
    <t>163</t>
  </si>
  <si>
    <t>206.04</t>
  </si>
  <si>
    <t>299.38</t>
  </si>
  <si>
    <t>2:03PM</t>
  </si>
  <si>
    <t>50</t>
  </si>
  <si>
    <t>7.5</t>
  </si>
  <si>
    <t>22.3</t>
  </si>
  <si>
    <t>90</t>
  </si>
  <si>
    <t>9.3</t>
  </si>
  <si>
    <t>92</t>
  </si>
  <si>
    <t>477</t>
  </si>
  <si>
    <t>24.1</t>
  </si>
  <si>
    <t>176</t>
  </si>
  <si>
    <t>213.67</t>
  </si>
  <si>
    <t>306.4</t>
  </si>
  <si>
    <t>7.7</t>
  </si>
  <si>
    <t>73</t>
  </si>
  <si>
    <t>69.5</t>
  </si>
  <si>
    <t>2.76</t>
  </si>
  <si>
    <t>6.1</t>
  </si>
  <si>
    <t>17</t>
  </si>
  <si>
    <t>171</t>
  </si>
  <si>
    <t>16</t>
  </si>
  <si>
    <t>534</t>
  </si>
  <si>
    <t>269</t>
  </si>
  <si>
    <t>929</t>
  </si>
  <si>
    <t>0.1</t>
  </si>
  <si>
    <t>21.6</t>
  </si>
  <si>
    <t>291</t>
  </si>
  <si>
    <t>326.04</t>
  </si>
  <si>
    <t>6.2</t>
  </si>
  <si>
    <t>yes</t>
  </si>
  <si>
    <t>6:35a</t>
  </si>
  <si>
    <t>9:20a</t>
  </si>
  <si>
    <t>9:25a</t>
  </si>
  <si>
    <t>10:25a</t>
  </si>
  <si>
    <t>11:25a</t>
  </si>
  <si>
    <t>12:25p</t>
  </si>
  <si>
    <t>12:30p</t>
  </si>
  <si>
    <t>1:30p</t>
  </si>
  <si>
    <t>B-PRC 06</t>
  </si>
  <si>
    <t>9:05a</t>
  </si>
  <si>
    <t>9:15a</t>
  </si>
  <si>
    <t>&gt;5</t>
  </si>
  <si>
    <t>10:15a</t>
  </si>
  <si>
    <t>11:15a</t>
  </si>
  <si>
    <t>12:15p</t>
  </si>
  <si>
    <t>1:25p</t>
  </si>
  <si>
    <t>&gt;6</t>
  </si>
  <si>
    <t>B-PRC 07</t>
  </si>
  <si>
    <t>6:55a</t>
  </si>
  <si>
    <t>9:35a</t>
  </si>
  <si>
    <t>9:45a</t>
  </si>
  <si>
    <t>10:45a</t>
  </si>
  <si>
    <t>11:45a</t>
  </si>
  <si>
    <t>12:45p</t>
  </si>
  <si>
    <t>12:55p</t>
  </si>
  <si>
    <t>1:55p</t>
  </si>
  <si>
    <t>B-PRC 08</t>
  </si>
  <si>
    <t>45%%</t>
  </si>
  <si>
    <t>7:07a</t>
  </si>
  <si>
    <t>9:42a</t>
  </si>
  <si>
    <t>9:52a</t>
  </si>
  <si>
    <t>10:52a</t>
  </si>
  <si>
    <t>11:52a</t>
  </si>
  <si>
    <t>12:52p</t>
  </si>
  <si>
    <t>1:02p</t>
  </si>
  <si>
    <t>2:02p</t>
  </si>
  <si>
    <t>10a</t>
  </si>
  <si>
    <t>B-PRC 09</t>
  </si>
  <si>
    <t>72</t>
  </si>
  <si>
    <t>6.64</t>
  </si>
  <si>
    <t>14.1</t>
  </si>
  <si>
    <t>43.7</t>
  </si>
  <si>
    <t>293</t>
  </si>
  <si>
    <t>61</t>
  </si>
  <si>
    <t>11.15</t>
  </si>
  <si>
    <t>239</t>
  </si>
  <si>
    <t>150.72</t>
  </si>
  <si>
    <t>132.42</t>
  </si>
  <si>
    <t>11.8</t>
  </si>
  <si>
    <t>1.2</t>
  </si>
  <si>
    <t>73.6</t>
  </si>
  <si>
    <t>64</t>
  </si>
  <si>
    <t>46</t>
  </si>
  <si>
    <t>3.99</t>
  </si>
  <si>
    <t>25.9</t>
  </si>
  <si>
    <t>224</t>
  </si>
  <si>
    <t>23</t>
  </si>
  <si>
    <t>88</t>
  </si>
  <si>
    <t>63</t>
  </si>
  <si>
    <t>54</t>
  </si>
  <si>
    <t>22.18</t>
  </si>
  <si>
    <t>216</t>
  </si>
  <si>
    <t>150.59</t>
  </si>
  <si>
    <t>432.38</t>
  </si>
  <si>
    <t>10.2</t>
  </si>
  <si>
    <t>67.7</t>
  </si>
  <si>
    <t>3.34</t>
  </si>
  <si>
    <t>21.7</t>
  </si>
  <si>
    <t>169</t>
  </si>
  <si>
    <t>24</t>
  </si>
  <si>
    <t>76</t>
  </si>
  <si>
    <t>51</t>
  </si>
  <si>
    <t>280</t>
  </si>
  <si>
    <t>0.9</t>
  </si>
  <si>
    <t>21.12</t>
  </si>
  <si>
    <t>193</t>
  </si>
  <si>
    <t>163.79</t>
  </si>
  <si>
    <t>370.54</t>
  </si>
  <si>
    <t>2.2</t>
  </si>
  <si>
    <t>65</t>
  </si>
  <si>
    <t>51.2</t>
  </si>
  <si>
    <t>39</t>
  </si>
  <si>
    <t>19</t>
  </si>
  <si>
    <t>15</t>
  </si>
  <si>
    <t>4.38</t>
  </si>
  <si>
    <t>28.6</t>
  </si>
  <si>
    <t>98</t>
  </si>
  <si>
    <t>12.5</t>
  </si>
  <si>
    <t>143</t>
  </si>
  <si>
    <t>57</t>
  </si>
  <si>
    <t>414</t>
  </si>
  <si>
    <t>28.86</t>
  </si>
  <si>
    <t>93.79</t>
  </si>
  <si>
    <t>321.43</t>
  </si>
  <si>
    <t>2</t>
  </si>
  <si>
    <t>4.05</t>
  </si>
  <si>
    <t>8.6</t>
  </si>
  <si>
    <t>26.3</t>
  </si>
  <si>
    <t>103</t>
  </si>
  <si>
    <t>204</t>
  </si>
  <si>
    <t>82</t>
  </si>
  <si>
    <t>688</t>
  </si>
  <si>
    <t>33.65</t>
  </si>
  <si>
    <t>357</t>
  </si>
  <si>
    <t>137.05</t>
  </si>
  <si>
    <t>284.77</t>
  </si>
  <si>
    <t>61.1</t>
  </si>
  <si>
    <t>B-PRC 10</t>
  </si>
  <si>
    <t>6.24</t>
  </si>
  <si>
    <t>12.3</t>
  </si>
  <si>
    <t>37.6</t>
  </si>
  <si>
    <t>250</t>
  </si>
  <si>
    <t>1.4</t>
  </si>
  <si>
    <t>93</t>
  </si>
  <si>
    <t>10.81</t>
  </si>
  <si>
    <t>98.12</t>
  </si>
  <si>
    <t>131.16</t>
  </si>
  <si>
    <t>8.1</t>
  </si>
  <si>
    <t>75.2</t>
  </si>
  <si>
    <t>65.7</t>
  </si>
  <si>
    <t>3.98</t>
  </si>
  <si>
    <t>7.8</t>
  </si>
  <si>
    <t>8.2</t>
  </si>
  <si>
    <t>38</t>
  </si>
  <si>
    <t>47</t>
  </si>
  <si>
    <t>15.97</t>
  </si>
  <si>
    <t>199</t>
  </si>
  <si>
    <t>124.88</t>
  </si>
  <si>
    <t>306.28</t>
  </si>
  <si>
    <t>6.6</t>
  </si>
  <si>
    <t>69.2</t>
  </si>
  <si>
    <t>62.4</t>
  </si>
  <si>
    <t>2.82</t>
  </si>
  <si>
    <t>5.7</t>
  </si>
  <si>
    <t>16.6</t>
  </si>
  <si>
    <t>14.56</t>
  </si>
  <si>
    <t>147</t>
  </si>
  <si>
    <t>107.81</t>
  </si>
  <si>
    <t>270.34</t>
  </si>
  <si>
    <t>6.4</t>
  </si>
  <si>
    <t>65.4</t>
  </si>
  <si>
    <t>4.3</t>
  </si>
  <si>
    <t>12:52PM</t>
  </si>
  <si>
    <t>1:02PM</t>
  </si>
  <si>
    <t>3.25</t>
  </si>
  <si>
    <t>19.2</t>
  </si>
  <si>
    <t>77</t>
  </si>
  <si>
    <t>15.12</t>
  </si>
  <si>
    <t>166</t>
  </si>
  <si>
    <t>95.74</t>
  </si>
  <si>
    <t>134.64</t>
  </si>
  <si>
    <t>2:02PM</t>
  </si>
  <si>
    <t>3.06</t>
  </si>
  <si>
    <t>18</t>
  </si>
  <si>
    <t>87</t>
  </si>
  <si>
    <t>151</t>
  </si>
  <si>
    <t>15.09</t>
  </si>
  <si>
    <t>187</t>
  </si>
  <si>
    <t>111.64</t>
  </si>
  <si>
    <t>147.07</t>
  </si>
  <si>
    <t>51.3</t>
  </si>
  <si>
    <t>9:52AM</t>
  </si>
  <si>
    <t>2.58</t>
  </si>
  <si>
    <t>5.2</t>
  </si>
  <si>
    <t>15.3</t>
  </si>
  <si>
    <t>157</t>
  </si>
  <si>
    <t>1.1</t>
  </si>
  <si>
    <t>13</t>
  </si>
  <si>
    <t>0.4</t>
  </si>
  <si>
    <t>12.43</t>
  </si>
  <si>
    <t>248</t>
  </si>
  <si>
    <t>405.55</t>
  </si>
  <si>
    <t>131.43</t>
  </si>
  <si>
    <t>120</t>
  </si>
  <si>
    <t>B-PRC 11</t>
  </si>
  <si>
    <t>79</t>
  </si>
  <si>
    <t>6.04</t>
  </si>
  <si>
    <t>30.8</t>
  </si>
  <si>
    <t>1.5</t>
  </si>
  <si>
    <t>13.25</t>
  </si>
  <si>
    <t>109.23</t>
  </si>
  <si>
    <t>135.59</t>
  </si>
  <si>
    <t>73.2</t>
  </si>
  <si>
    <t>43</t>
  </si>
  <si>
    <t>3.85</t>
  </si>
  <si>
    <t>23.8</t>
  </si>
  <si>
    <t>4.6</t>
  </si>
  <si>
    <t>233</t>
  </si>
  <si>
    <t>17.89</t>
  </si>
  <si>
    <t>157.77</t>
  </si>
  <si>
    <t>239.71</t>
  </si>
  <si>
    <t>70.6</t>
  </si>
  <si>
    <t>2.71</t>
  </si>
  <si>
    <t>16.7</t>
  </si>
  <si>
    <t>132</t>
  </si>
  <si>
    <t>45</t>
  </si>
  <si>
    <t>110</t>
  </si>
  <si>
    <t>16.15</t>
  </si>
  <si>
    <t>103.49</t>
  </si>
  <si>
    <t>211.32</t>
  </si>
  <si>
    <t>2.1</t>
  </si>
  <si>
    <t>64.2</t>
  </si>
  <si>
    <t>58.8</t>
  </si>
  <si>
    <t>2.7</t>
  </si>
  <si>
    <t>6.8</t>
  </si>
  <si>
    <t>42</t>
  </si>
  <si>
    <t>6.5</t>
  </si>
  <si>
    <t>3.57</t>
  </si>
  <si>
    <t>292</t>
  </si>
  <si>
    <t>20.92</t>
  </si>
  <si>
    <t>130</t>
  </si>
  <si>
    <t>104.38</t>
  </si>
  <si>
    <t>197.37</t>
  </si>
  <si>
    <t>3.21</t>
  </si>
  <si>
    <t>19.8</t>
  </si>
  <si>
    <t>66</t>
  </si>
  <si>
    <t>17.95</t>
  </si>
  <si>
    <t>105.22</t>
  </si>
  <si>
    <t>133.39</t>
  </si>
  <si>
    <t>60.9</t>
  </si>
  <si>
    <t>6.51</t>
  </si>
  <si>
    <t>13.4</t>
  </si>
  <si>
    <t>172</t>
  </si>
  <si>
    <t>14.28</t>
  </si>
  <si>
    <t>264</t>
  </si>
  <si>
    <t>323.07</t>
  </si>
  <si>
    <t>141.68</t>
  </si>
  <si>
    <t>B-PRC 12</t>
  </si>
  <si>
    <t>6:57AM</t>
  </si>
  <si>
    <t>37.8</t>
  </si>
  <si>
    <t>150</t>
  </si>
  <si>
    <t>14.72</t>
  </si>
  <si>
    <t>314</t>
  </si>
  <si>
    <t>107.53</t>
  </si>
  <si>
    <t>143.43</t>
  </si>
  <si>
    <t>7.3</t>
  </si>
  <si>
    <t>75.7</t>
  </si>
  <si>
    <t>64.3</t>
  </si>
  <si>
    <t>9:58AM</t>
  </si>
  <si>
    <t>22</t>
  </si>
  <si>
    <t>3.27</t>
  </si>
  <si>
    <t>21.4</t>
  </si>
  <si>
    <t>159</t>
  </si>
  <si>
    <t>21.03</t>
  </si>
  <si>
    <t>170.99</t>
  </si>
  <si>
    <t>326.1</t>
  </si>
  <si>
    <t>55.6</t>
  </si>
  <si>
    <t>10:08AM</t>
  </si>
  <si>
    <t>2.51</t>
  </si>
  <si>
    <t>5.6</t>
  </si>
  <si>
    <t>16.3</t>
  </si>
  <si>
    <t>137</t>
  </si>
  <si>
    <t>49</t>
  </si>
  <si>
    <t>168</t>
  </si>
  <si>
    <t>18.79</t>
  </si>
  <si>
    <t>190</t>
  </si>
  <si>
    <t>140.93</t>
  </si>
  <si>
    <t>303.89</t>
  </si>
  <si>
    <t>69.6</t>
  </si>
  <si>
    <t>57.4</t>
  </si>
  <si>
    <t>11:08AM</t>
  </si>
  <si>
    <t>12.7</t>
  </si>
  <si>
    <t>12:08AM</t>
  </si>
  <si>
    <t>1:08PM</t>
  </si>
  <si>
    <t>4.5</t>
  </si>
  <si>
    <t>1:18PM</t>
  </si>
  <si>
    <t>21.3</t>
  </si>
  <si>
    <t>4.7</t>
  </si>
  <si>
    <t>118</t>
  </si>
  <si>
    <t>279</t>
  </si>
  <si>
    <t>21.07</t>
  </si>
  <si>
    <t>220.97</t>
  </si>
  <si>
    <t>146.23</t>
  </si>
  <si>
    <t>2:18PM</t>
  </si>
  <si>
    <t>3.19</t>
  </si>
  <si>
    <t>20.6</t>
  </si>
  <si>
    <t>74</t>
  </si>
  <si>
    <t>3.3</t>
  </si>
  <si>
    <t>212</t>
  </si>
  <si>
    <t>359</t>
  </si>
  <si>
    <t>20.62</t>
  </si>
  <si>
    <t>296</t>
  </si>
  <si>
    <t>341.67</t>
  </si>
  <si>
    <t>156.51</t>
  </si>
  <si>
    <t>13.2</t>
  </si>
  <si>
    <t>47.5</t>
  </si>
  <si>
    <t>2.74</t>
  </si>
  <si>
    <t>17.8</t>
  </si>
  <si>
    <t>395</t>
  </si>
  <si>
    <t>220</t>
  </si>
  <si>
    <t>438</t>
  </si>
  <si>
    <t>14.32</t>
  </si>
  <si>
    <t>698.19</t>
  </si>
  <si>
    <t>174.92</t>
  </si>
  <si>
    <t>370</t>
  </si>
  <si>
    <t>47.7</t>
  </si>
  <si>
    <t>B-PRC 13</t>
  </si>
  <si>
    <t>9/1//2023</t>
  </si>
  <si>
    <t>5.52</t>
  </si>
  <si>
    <t>12.4</t>
  </si>
  <si>
    <t>37.2</t>
  </si>
  <si>
    <t>230</t>
  </si>
  <si>
    <t>182</t>
  </si>
  <si>
    <t>80</t>
  </si>
  <si>
    <t>338</t>
  </si>
  <si>
    <t>13.39</t>
  </si>
  <si>
    <t>249</t>
  </si>
  <si>
    <t>209.33</t>
  </si>
  <si>
    <t>171.8</t>
  </si>
  <si>
    <t>74.9</t>
  </si>
  <si>
    <t>63.2</t>
  </si>
  <si>
    <t>2.99</t>
  </si>
  <si>
    <t>19.7</t>
  </si>
  <si>
    <t>25</t>
  </si>
  <si>
    <t>245</t>
  </si>
  <si>
    <t>608</t>
  </si>
  <si>
    <t>21.49</t>
  </si>
  <si>
    <t>151.8</t>
  </si>
  <si>
    <t>371.26</t>
  </si>
  <si>
    <t>57.8</t>
  </si>
  <si>
    <t>1.97</t>
  </si>
  <si>
    <t>162</t>
  </si>
  <si>
    <t>443</t>
  </si>
  <si>
    <t>22.6</t>
  </si>
  <si>
    <t>99</t>
  </si>
  <si>
    <t>126.97</t>
  </si>
  <si>
    <t>339.99</t>
  </si>
  <si>
    <t>2.9</t>
  </si>
  <si>
    <t>45.4</t>
  </si>
  <si>
    <t>13.6</t>
  </si>
  <si>
    <t>2:10PM</t>
  </si>
  <si>
    <t>2:20PM</t>
  </si>
  <si>
    <t>2.87</t>
  </si>
  <si>
    <t>85</t>
  </si>
  <si>
    <t>10.3</t>
  </si>
  <si>
    <t>256</t>
  </si>
  <si>
    <t>639</t>
  </si>
  <si>
    <t>29.43</t>
  </si>
  <si>
    <t>99.65</t>
  </si>
  <si>
    <t>244.63</t>
  </si>
  <si>
    <t>3:20PM</t>
  </si>
  <si>
    <t>2.98</t>
  </si>
  <si>
    <t>581</t>
  </si>
  <si>
    <t>1046</t>
  </si>
  <si>
    <t>27.39</t>
  </si>
  <si>
    <t>197</t>
  </si>
  <si>
    <t>124.37</t>
  </si>
  <si>
    <t>222.51</t>
  </si>
  <si>
    <t>B-PRC 14</t>
  </si>
  <si>
    <t>no</t>
  </si>
  <si>
    <t>9a</t>
  </si>
  <si>
    <t>210</t>
  </si>
  <si>
    <t>14</t>
  </si>
  <si>
    <t>161</t>
  </si>
  <si>
    <t>12.95</t>
  </si>
  <si>
    <t>253</t>
  </si>
  <si>
    <t>102.2</t>
  </si>
  <si>
    <t>139.8</t>
  </si>
  <si>
    <t>3.5</t>
  </si>
  <si>
    <t>48.2</t>
  </si>
  <si>
    <t>50.4</t>
  </si>
  <si>
    <t>10:03a</t>
  </si>
  <si>
    <t>3.29</t>
  </si>
  <si>
    <t>107</t>
  </si>
  <si>
    <t>347</t>
  </si>
  <si>
    <t>18.37</t>
  </si>
  <si>
    <t>209</t>
  </si>
  <si>
    <t>243.58</t>
  </si>
  <si>
    <t>351.38</t>
  </si>
  <si>
    <t>47.9</t>
  </si>
  <si>
    <t>51.5</t>
  </si>
  <si>
    <t>10:13a</t>
  </si>
  <si>
    <t>2.37</t>
  </si>
  <si>
    <t>14.9</t>
  </si>
  <si>
    <t>10.4</t>
  </si>
  <si>
    <t>234</t>
  </si>
  <si>
    <t>17.14</t>
  </si>
  <si>
    <t>164</t>
  </si>
  <si>
    <t>198.37</t>
  </si>
  <si>
    <t>295.62</t>
  </si>
  <si>
    <t>11:13a</t>
  </si>
  <si>
    <t>3.4</t>
  </si>
  <si>
    <t>12:13p</t>
  </si>
  <si>
    <t>1:13p</t>
  </si>
  <si>
    <t>4.1</t>
  </si>
  <si>
    <t>1:23p</t>
  </si>
  <si>
    <t>3.03</t>
  </si>
  <si>
    <t>3.9</t>
  </si>
  <si>
    <t>305</t>
  </si>
  <si>
    <t>18.16</t>
  </si>
  <si>
    <t>186</t>
  </si>
  <si>
    <t>178.51</t>
  </si>
  <si>
    <t>154.41</t>
  </si>
  <si>
    <t>2:23p</t>
  </si>
  <si>
    <t>3</t>
  </si>
  <si>
    <t>18.9</t>
  </si>
  <si>
    <t>84</t>
  </si>
  <si>
    <t>3.6</t>
  </si>
  <si>
    <t>114</t>
  </si>
  <si>
    <t>302</t>
  </si>
  <si>
    <t>16.44</t>
  </si>
  <si>
    <t>222</t>
  </si>
  <si>
    <t>242.32</t>
  </si>
  <si>
    <t>3.8</t>
  </si>
  <si>
    <t>44.5</t>
  </si>
  <si>
    <t>48.6</t>
  </si>
  <si>
    <t>9:10a</t>
  </si>
  <si>
    <t>2.67</t>
  </si>
  <si>
    <t>5.9</t>
  </si>
  <si>
    <t>262</t>
  </si>
  <si>
    <t>121</t>
  </si>
  <si>
    <t>64.1</t>
  </si>
  <si>
    <t>B-PRC 15</t>
  </si>
  <si>
    <t>7:08a</t>
  </si>
  <si>
    <t>5.51</t>
  </si>
  <si>
    <t>35.8</t>
  </si>
  <si>
    <t>275</t>
  </si>
  <si>
    <t>13.94</t>
  </si>
  <si>
    <t>283</t>
  </si>
  <si>
    <t>217.93</t>
  </si>
  <si>
    <t>173.57</t>
  </si>
  <si>
    <t>12.1</t>
  </si>
  <si>
    <t>3.2</t>
  </si>
  <si>
    <t>57.7</t>
  </si>
  <si>
    <t>9:54a</t>
  </si>
  <si>
    <t>3.33</t>
  </si>
  <si>
    <t>397</t>
  </si>
  <si>
    <t>104</t>
  </si>
  <si>
    <t>560</t>
  </si>
  <si>
    <t>26.93</t>
  </si>
  <si>
    <t>254</t>
  </si>
  <si>
    <t>226.37</t>
  </si>
  <si>
    <t>383.82</t>
  </si>
  <si>
    <t>15.5</t>
  </si>
  <si>
    <t>35</t>
  </si>
  <si>
    <t>10:04a</t>
  </si>
  <si>
    <t>2.65</t>
  </si>
  <si>
    <t>373</t>
  </si>
  <si>
    <t>89</t>
  </si>
  <si>
    <t>470</t>
  </si>
  <si>
    <t>25.24</t>
  </si>
  <si>
    <t>208</t>
  </si>
  <si>
    <t>200.38</t>
  </si>
  <si>
    <t>326.77</t>
  </si>
  <si>
    <t>21</t>
  </si>
  <si>
    <t>41.2</t>
  </si>
  <si>
    <t>60.2</t>
  </si>
  <si>
    <t>11:04a</t>
  </si>
  <si>
    <t>9.1</t>
  </si>
  <si>
    <t>12:04p</t>
  </si>
  <si>
    <t>1:04p</t>
  </si>
  <si>
    <t>1:14p</t>
  </si>
  <si>
    <t>2.86</t>
  </si>
  <si>
    <t>18.5</t>
  </si>
  <si>
    <t>96</t>
  </si>
  <si>
    <t>158</t>
  </si>
  <si>
    <t>270</t>
  </si>
  <si>
    <t>26.67</t>
  </si>
  <si>
    <t>233.68</t>
  </si>
  <si>
    <t>193.12</t>
  </si>
  <si>
    <t>2:14p</t>
  </si>
  <si>
    <t>2.89</t>
  </si>
  <si>
    <t>111</t>
  </si>
  <si>
    <t>383</t>
  </si>
  <si>
    <t>28.21</t>
  </si>
  <si>
    <t>255</t>
  </si>
  <si>
    <t>309.2</t>
  </si>
  <si>
    <t>169.85</t>
  </si>
  <si>
    <t>27.2</t>
  </si>
  <si>
    <t>21.1</t>
  </si>
  <si>
    <t>45.7</t>
  </si>
  <si>
    <t>3.24</t>
  </si>
  <si>
    <t>20.7</t>
  </si>
  <si>
    <t>112</t>
  </si>
  <si>
    <t>15.99</t>
  </si>
  <si>
    <t>386</t>
  </si>
  <si>
    <t>813.52</t>
  </si>
  <si>
    <t>169.87</t>
  </si>
  <si>
    <t>69.1</t>
  </si>
  <si>
    <t>B-PRC 16</t>
  </si>
  <si>
    <t>Only able to collect 20ml due to port failure</t>
  </si>
  <si>
    <t>B-PRC 17</t>
  </si>
  <si>
    <t>B-PRC 18</t>
  </si>
  <si>
    <t>6:30a</t>
  </si>
  <si>
    <t>&lt;5</t>
  </si>
  <si>
    <t>&lt;26.1</t>
  </si>
  <si>
    <t>&lt;2</t>
  </si>
  <si>
    <t>10:10a</t>
  </si>
  <si>
    <t>11:10a</t>
  </si>
  <si>
    <t>12:10p</t>
  </si>
  <si>
    <t>1:10p</t>
  </si>
  <si>
    <t>1:20p</t>
  </si>
  <si>
    <t>2:20p</t>
  </si>
  <si>
    <t>B-PRC 19</t>
  </si>
  <si>
    <t>6:45a</t>
  </si>
  <si>
    <t>5.43</t>
  </si>
  <si>
    <t>11.4</t>
  </si>
  <si>
    <t>34.6</t>
  </si>
  <si>
    <t>284</t>
  </si>
  <si>
    <t>26</t>
  </si>
  <si>
    <t>12.79</t>
  </si>
  <si>
    <t>206</t>
  </si>
  <si>
    <t>68.57</t>
  </si>
  <si>
    <t>70.5</t>
  </si>
  <si>
    <t>63.9</t>
  </si>
  <si>
    <t>177</t>
  </si>
  <si>
    <t>342</t>
  </si>
  <si>
    <t>19.67</t>
  </si>
  <si>
    <t>207</t>
  </si>
  <si>
    <t>264.9</t>
  </si>
  <si>
    <t>357.11</t>
  </si>
  <si>
    <t>10.6</t>
  </si>
  <si>
    <t>1.7</t>
  </si>
  <si>
    <t>67.4</t>
  </si>
  <si>
    <t>66.1</t>
  </si>
  <si>
    <t>9:55a</t>
  </si>
  <si>
    <t>78</t>
  </si>
  <si>
    <t>15.8</t>
  </si>
  <si>
    <t>142</t>
  </si>
  <si>
    <t>288</t>
  </si>
  <si>
    <t>199.22</t>
  </si>
  <si>
    <t>310.6</t>
  </si>
  <si>
    <t>67.9</t>
  </si>
  <si>
    <t>10:55a</t>
  </si>
  <si>
    <t>14.2</t>
  </si>
  <si>
    <t>11:55a</t>
  </si>
  <si>
    <t>9.9</t>
  </si>
  <si>
    <t>1:05p</t>
  </si>
  <si>
    <t>332</t>
  </si>
  <si>
    <t>23.53</t>
  </si>
  <si>
    <t>98.34</t>
  </si>
  <si>
    <t>247.53</t>
  </si>
  <si>
    <t>2:05p</t>
  </si>
  <si>
    <t>3.08</t>
  </si>
  <si>
    <t>19.3</t>
  </si>
  <si>
    <t>94</t>
  </si>
  <si>
    <t>185</t>
  </si>
  <si>
    <t>706</t>
  </si>
  <si>
    <t>21.83</t>
  </si>
  <si>
    <t>119.1</t>
  </si>
  <si>
    <t>157.62</t>
  </si>
  <si>
    <t>48.7</t>
  </si>
  <si>
    <t>51.6</t>
  </si>
  <si>
    <t>6.9</t>
  </si>
  <si>
    <t>20.1</t>
  </si>
  <si>
    <t>341</t>
  </si>
  <si>
    <t>387</t>
  </si>
  <si>
    <t>551</t>
  </si>
  <si>
    <t>63.77</t>
  </si>
  <si>
    <t>758.99</t>
  </si>
  <si>
    <t>540.6</t>
  </si>
  <si>
    <t>B-PRC 20</t>
  </si>
  <si>
    <t>37.9</t>
  </si>
  <si>
    <t>1</t>
  </si>
  <si>
    <t>14.71</t>
  </si>
  <si>
    <t>103.37</t>
  </si>
  <si>
    <t>212.37</t>
  </si>
  <si>
    <t>67.3</t>
  </si>
  <si>
    <t>63.1</t>
  </si>
  <si>
    <t>3.67</t>
  </si>
  <si>
    <t>8.3</t>
  </si>
  <si>
    <t>24.8</t>
  </si>
  <si>
    <t>13.7</t>
  </si>
  <si>
    <t>196</t>
  </si>
  <si>
    <t>17.81</t>
  </si>
  <si>
    <t>130.28</t>
  </si>
  <si>
    <t>414.71</t>
  </si>
  <si>
    <t>2.96</t>
  </si>
  <si>
    <t>20</t>
  </si>
  <si>
    <t>178</t>
  </si>
  <si>
    <t>192</t>
  </si>
  <si>
    <t>16.26</t>
  </si>
  <si>
    <t>133</t>
  </si>
  <si>
    <t>105.91</t>
  </si>
  <si>
    <t>394.66</t>
  </si>
  <si>
    <t>70.1</t>
  </si>
  <si>
    <t>5.1</t>
  </si>
  <si>
    <t>3.49</t>
  </si>
  <si>
    <t>322</t>
  </si>
  <si>
    <t>23.94</t>
  </si>
  <si>
    <t>136</t>
  </si>
  <si>
    <t>102.19</t>
  </si>
  <si>
    <t>223.42</t>
  </si>
  <si>
    <t>3.15</t>
  </si>
  <si>
    <t>445</t>
  </si>
  <si>
    <t>22.91</t>
  </si>
  <si>
    <t>155</t>
  </si>
  <si>
    <t>115.99</t>
  </si>
  <si>
    <t>131.72</t>
  </si>
  <si>
    <t>58.2</t>
  </si>
  <si>
    <t>55.1</t>
  </si>
  <si>
    <t>8:45AM</t>
  </si>
  <si>
    <t>18.8</t>
  </si>
  <si>
    <t>1.8</t>
  </si>
  <si>
    <t>333</t>
  </si>
  <si>
    <t>285</t>
  </si>
  <si>
    <t>515</t>
  </si>
  <si>
    <t>15.86</t>
  </si>
  <si>
    <t>268</t>
  </si>
  <si>
    <t>385.57</t>
  </si>
  <si>
    <t>138.63</t>
  </si>
  <si>
    <t>B-PRC 21</t>
  </si>
  <si>
    <t>Interesting case</t>
  </si>
  <si>
    <t>incomplete measurements but not excluded</t>
  </si>
  <si>
    <t>1:42PM</t>
  </si>
  <si>
    <t>B-PRC 22</t>
  </si>
  <si>
    <t>6:30AM</t>
  </si>
  <si>
    <t>5.76</t>
  </si>
  <si>
    <t>36.6</t>
  </si>
  <si>
    <t>299</t>
  </si>
  <si>
    <t>101</t>
  </si>
  <si>
    <t>18.65</t>
  </si>
  <si>
    <t>286</t>
  </si>
  <si>
    <t>122.23</t>
  </si>
  <si>
    <t>206.54</t>
  </si>
  <si>
    <t>67.5</t>
  </si>
  <si>
    <t>66.7</t>
  </si>
  <si>
    <t>3.52</t>
  </si>
  <si>
    <t>319</t>
  </si>
  <si>
    <t>106</t>
  </si>
  <si>
    <t>18.24</t>
  </si>
  <si>
    <t>180.18</t>
  </si>
  <si>
    <t>71.2</t>
  </si>
  <si>
    <t>2.56</t>
  </si>
  <si>
    <t>236</t>
  </si>
  <si>
    <t>17.52</t>
  </si>
  <si>
    <t>155.53</t>
  </si>
  <si>
    <t>416.06</t>
  </si>
  <si>
    <t>8.8</t>
  </si>
  <si>
    <t>3.32</t>
  </si>
  <si>
    <t>20.8</t>
  </si>
  <si>
    <t>135</t>
  </si>
  <si>
    <t>91</t>
  </si>
  <si>
    <t>23.85</t>
  </si>
  <si>
    <t>184</t>
  </si>
  <si>
    <t>175.21</t>
  </si>
  <si>
    <t>279.36</t>
  </si>
  <si>
    <t>1:55PM</t>
  </si>
  <si>
    <t>3.02</t>
  </si>
  <si>
    <t>115</t>
  </si>
  <si>
    <t>108</t>
  </si>
  <si>
    <t>25.5</t>
  </si>
  <si>
    <t>193.55</t>
  </si>
  <si>
    <t>173.88</t>
  </si>
  <si>
    <t>62.2</t>
  </si>
  <si>
    <t>54.5</t>
  </si>
  <si>
    <t>2.54</t>
  </si>
  <si>
    <t>244</t>
  </si>
  <si>
    <t>109</t>
  </si>
  <si>
    <t>17.67</t>
  </si>
  <si>
    <t>350</t>
  </si>
  <si>
    <t>564.25</t>
  </si>
  <si>
    <t>155.55</t>
  </si>
  <si>
    <t>B-PRC 23</t>
  </si>
  <si>
    <t>5.71</t>
  </si>
  <si>
    <t>36.2</t>
  </si>
  <si>
    <t>229</t>
  </si>
  <si>
    <t>14.87</t>
  </si>
  <si>
    <t>84.64</t>
  </si>
  <si>
    <t>187.39</t>
  </si>
  <si>
    <t>59.4</t>
  </si>
  <si>
    <t>3.51</t>
  </si>
  <si>
    <t>21.8</t>
  </si>
  <si>
    <t>140</t>
  </si>
  <si>
    <t>650</t>
  </si>
  <si>
    <t>17.94</t>
  </si>
  <si>
    <t>126</t>
  </si>
  <si>
    <t>265.81</t>
  </si>
  <si>
    <t>405.4</t>
  </si>
  <si>
    <t>65.3</t>
  </si>
  <si>
    <t>65.1</t>
  </si>
  <si>
    <t>9:16AM</t>
  </si>
  <si>
    <t>2.49</t>
  </si>
  <si>
    <t>20.21</t>
  </si>
  <si>
    <t>225.48</t>
  </si>
  <si>
    <t>454.85</t>
  </si>
  <si>
    <t>10.8</t>
  </si>
  <si>
    <t>65.6</t>
  </si>
  <si>
    <t>10:16AM</t>
  </si>
  <si>
    <t>102</t>
  </si>
  <si>
    <t>11:16AM</t>
  </si>
  <si>
    <t>12:16PM</t>
  </si>
  <si>
    <t>12:26PM</t>
  </si>
  <si>
    <t>81</t>
  </si>
  <si>
    <t>3.43</t>
  </si>
  <si>
    <t>153</t>
  </si>
  <si>
    <t>23.54</t>
  </si>
  <si>
    <t>194.35</t>
  </si>
  <si>
    <t>360.93</t>
  </si>
  <si>
    <t>1:26PM</t>
  </si>
  <si>
    <t>8.7</t>
  </si>
  <si>
    <t>194</t>
  </si>
  <si>
    <t>24.86</t>
  </si>
  <si>
    <t>217</t>
  </si>
  <si>
    <t>287.47</t>
  </si>
  <si>
    <t>251.56</t>
  </si>
  <si>
    <t>42.7</t>
  </si>
  <si>
    <t>50.6</t>
  </si>
  <si>
    <t>2.95</t>
  </si>
  <si>
    <t>18.2</t>
  </si>
  <si>
    <t>499</t>
  </si>
  <si>
    <t>463</t>
  </si>
  <si>
    <t>22.17</t>
  </si>
  <si>
    <t>278</t>
  </si>
  <si>
    <t>295.2</t>
  </si>
  <si>
    <t>7.5%</t>
  </si>
  <si>
    <t>2.5%</t>
  </si>
  <si>
    <t>72HR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</si>
</sst>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</font>
    <font>
      <sz val="10"/>
      <color rgb="FF000000"/>
      <name val="Arial Unicode MS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 Unicode MS"/>
    </font>
    <font>
      <sz val="10"/>
      <color theme="1"/>
      <name val="Arial Unicode MS"/>
      <family val="2"/>
    </font>
    <font>
      <sz val="11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3" xfId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2" fillId="0" borderId="2" xfId="0" applyFont="1" applyBorder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2" borderId="9" xfId="0" applyFont="1" applyFill="1" applyBorder="1" applyAlignment="1" applyProtection="1">
      <alignment horizontal="center"/>
      <protection locked="0"/>
    </xf>
    <xf numFmtId="0" fontId="14" fillId="2" borderId="11" xfId="0" applyFont="1" applyFill="1" applyBorder="1" applyAlignment="1" applyProtection="1">
      <alignment horizontal="center"/>
      <protection locked="0"/>
    </xf>
    <xf numFmtId="49" fontId="15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1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49" fontId="16" fillId="0" borderId="0" xfId="0" applyNumberFormat="1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0" fillId="0" borderId="0" xfId="1" applyFont="1" applyAlignment="1" applyProtection="1">
      <alignment horizont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6" fillId="3" borderId="13" xfId="1" applyFont="1" applyFill="1" applyBorder="1" applyAlignment="1" applyProtection="1">
      <alignment horizontal="center" vertical="center"/>
      <protection locked="0"/>
    </xf>
    <xf numFmtId="0" fontId="16" fillId="3" borderId="5" xfId="0" applyFont="1" applyFill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 applyProtection="1">
      <alignment horizontal="center" vertical="center"/>
      <protection locked="0"/>
    </xf>
    <xf numFmtId="0" fontId="16" fillId="5" borderId="13" xfId="1" applyFont="1" applyFill="1" applyBorder="1" applyAlignment="1" applyProtection="1">
      <alignment horizontal="center" vertical="center"/>
      <protection locked="0"/>
    </xf>
    <xf numFmtId="49" fontId="16" fillId="0" borderId="14" xfId="0" applyNumberFormat="1" applyFont="1" applyBorder="1" applyAlignment="1" applyProtection="1">
      <alignment horizontal="center" vertical="center"/>
      <protection locked="0"/>
    </xf>
    <xf numFmtId="18" fontId="0" fillId="0" borderId="0" xfId="1" applyNumberFormat="1" applyFont="1" applyAlignment="1">
      <alignment horizontal="center"/>
    </xf>
    <xf numFmtId="0" fontId="15" fillId="0" borderId="14" xfId="0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vertical="center"/>
    </xf>
    <xf numFmtId="0" fontId="15" fillId="0" borderId="0" xfId="0" applyFont="1" applyAlignment="1" applyProtection="1">
      <alignment horizontal="left"/>
      <protection locked="0"/>
    </xf>
    <xf numFmtId="49" fontId="16" fillId="0" borderId="0" xfId="0" quotePrefix="1" applyNumberFormat="1" applyFont="1" applyAlignment="1" applyProtection="1">
      <alignment horizontal="center" vertical="center"/>
      <protection locked="0"/>
    </xf>
    <xf numFmtId="9" fontId="14" fillId="2" borderId="10" xfId="0" applyNumberFormat="1" applyFont="1" applyFill="1" applyBorder="1" applyAlignment="1" applyProtection="1">
      <alignment horizontal="center"/>
      <protection locked="0"/>
    </xf>
    <xf numFmtId="9" fontId="14" fillId="2" borderId="12" xfId="0" applyNumberFormat="1" applyFont="1" applyFill="1" applyBorder="1" applyAlignment="1" applyProtection="1">
      <alignment horizontal="center"/>
      <protection locked="0"/>
    </xf>
    <xf numFmtId="9" fontId="5" fillId="2" borderId="10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center" vertical="center"/>
    </xf>
    <xf numFmtId="9" fontId="5" fillId="2" borderId="12" xfId="0" applyNumberFormat="1" applyFont="1" applyFill="1" applyBorder="1" applyAlignment="1" applyProtection="1">
      <alignment horizontal="center"/>
      <protection locked="0"/>
    </xf>
    <xf numFmtId="0" fontId="14" fillId="2" borderId="10" xfId="0" applyFont="1" applyFill="1" applyBorder="1" applyAlignment="1" applyProtection="1">
      <alignment horizontal="center"/>
      <protection locked="0"/>
    </xf>
    <xf numFmtId="0" fontId="14" fillId="2" borderId="12" xfId="0" applyFont="1" applyFill="1" applyBorder="1" applyAlignment="1" applyProtection="1">
      <alignment horizontal="center"/>
      <protection locked="0"/>
    </xf>
    <xf numFmtId="20" fontId="0" fillId="0" borderId="0" xfId="1" applyNumberFormat="1" applyFont="1" applyAlignment="1">
      <alignment horizontal="center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14" fillId="0" borderId="15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2" borderId="16" xfId="0" applyFont="1" applyFill="1" applyBorder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14" fontId="14" fillId="2" borderId="7" xfId="0" applyNumberFormat="1" applyFont="1" applyFill="1" applyBorder="1" applyAlignment="1" applyProtection="1">
      <alignment horizontal="center"/>
      <protection locked="0"/>
    </xf>
    <xf numFmtId="0" fontId="14" fillId="2" borderId="8" xfId="0" applyFont="1" applyFill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2" xfId="0" applyFont="1" applyBorder="1" applyAlignment="1" applyProtection="1">
      <alignment horizontal="center"/>
      <protection locked="0"/>
    </xf>
    <xf numFmtId="0" fontId="12" fillId="0" borderId="3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12" fillId="0" borderId="6" xfId="0" applyFont="1" applyBorder="1" applyAlignment="1" applyProtection="1">
      <alignment horizontal="center"/>
      <protection locked="0"/>
    </xf>
    <xf numFmtId="0" fontId="14" fillId="2" borderId="7" xfId="0" applyFont="1" applyFill="1" applyBorder="1" applyAlignment="1" applyProtection="1">
      <alignment horizontal="center"/>
      <protection locked="0"/>
    </xf>
    <xf numFmtId="0" fontId="14" fillId="2" borderId="7" xfId="0" applyFont="1" applyFill="1" applyBorder="1" applyAlignment="1" applyProtection="1">
      <alignment horizontal="center" wrapText="1"/>
      <protection locked="0"/>
    </xf>
    <xf numFmtId="0" fontId="14" fillId="2" borderId="8" xfId="0" applyFont="1" applyFill="1" applyBorder="1" applyAlignment="1" applyProtection="1">
      <alignment horizontal="center" wrapText="1"/>
      <protection locked="0"/>
    </xf>
    <xf numFmtId="2" fontId="14" fillId="2" borderId="7" xfId="0" applyNumberFormat="1" applyFont="1" applyFill="1" applyBorder="1" applyAlignment="1" applyProtection="1">
      <alignment horizontal="center"/>
      <protection locked="0"/>
    </xf>
    <xf numFmtId="2" fontId="14" fillId="2" borderId="8" xfId="0" applyNumberFormat="1" applyFont="1" applyFill="1" applyBorder="1" applyAlignment="1" applyProtection="1">
      <alignment horizontal="center"/>
      <protection locked="0"/>
    </xf>
    <xf numFmtId="164" fontId="14" fillId="2" borderId="7" xfId="0" applyNumberFormat="1" applyFont="1" applyFill="1" applyBorder="1" applyAlignment="1" applyProtection="1">
      <alignment horizontal="center"/>
      <protection locked="0"/>
    </xf>
    <xf numFmtId="164" fontId="14" fillId="2" borderId="8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8" xfId="0" applyFont="1" applyFill="1" applyBorder="1" applyAlignment="1" applyProtection="1">
      <alignment horizontal="center" wrapText="1"/>
      <protection locked="0"/>
    </xf>
    <xf numFmtId="164" fontId="5" fillId="2" borderId="7" xfId="0" applyNumberFormat="1" applyFont="1" applyFill="1" applyBorder="1" applyAlignment="1" applyProtection="1">
      <alignment horizontal="center"/>
      <protection locked="0"/>
    </xf>
    <xf numFmtId="164" fontId="5" fillId="2" borderId="8" xfId="0" applyNumberFormat="1" applyFont="1" applyFill="1" applyBorder="1" applyAlignment="1" applyProtection="1">
      <alignment horizontal="center"/>
      <protection locked="0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4" fontId="14" fillId="2" borderId="1" xfId="0" applyNumberFormat="1" applyFont="1" applyFill="1" applyBorder="1" applyAlignment="1" applyProtection="1">
      <alignment horizontal="center"/>
      <protection locked="0"/>
    </xf>
    <xf numFmtId="14" fontId="14" fillId="2" borderId="3" xfId="0" applyNumberFormat="1" applyFont="1" applyFill="1" applyBorder="1" applyAlignment="1" applyProtection="1">
      <alignment horizontal="center"/>
      <protection locked="0"/>
    </xf>
    <xf numFmtId="164" fontId="14" fillId="2" borderId="7" xfId="0" applyNumberFormat="1" applyFont="1" applyFill="1" applyBorder="1" applyAlignment="1" applyProtection="1">
      <alignment horizontal="center" wrapText="1"/>
      <protection locked="0"/>
    </xf>
    <xf numFmtId="164" fontId="14" fillId="2" borderId="8" xfId="0" applyNumberFormat="1" applyFont="1" applyFill="1" applyBorder="1" applyAlignment="1" applyProtection="1">
      <alignment horizontal="center" wrapText="1"/>
      <protection locked="0"/>
    </xf>
    <xf numFmtId="0" fontId="19" fillId="2" borderId="7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C22F9E2F-05F1-45DD-8B31-04B2513AB363}"/>
  </cellStyles>
  <dxfs count="50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evil, Madeleine" id="{3B82F3A5-F823-4724-8B8D-EAF49BA4C6AE}" userId="S::MAntevil@som.umaryland.edu::7c4d2acc-deb0-45de-b61f-af2cc90ccb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A9B7FCFE-2ADA-E04C-A46B-1AA295312CDB}">
    <text>ask tony</text>
  </threadedComment>
  <threadedComment ref="P22" dT="2026-08-04T19:36:02.40" personId="{3B82F3A5-F823-4724-8B8D-EAF49BA4C6AE}" id="{7FBB881D-D650-4A46-AA90-974A47885F9E}">
    <text>need to get from chart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22" dT="2026-08-04T20:09:25.62" personId="{3B82F3A5-F823-4724-8B8D-EAF49BA4C6AE}" id="{715DF553-1C2B-E341-B978-773C5191C93D}">
    <text>no other data here</text>
  </threadedComment>
  <threadedComment ref="B23" dT="2026-08-04T19:41:44.16" personId="{3B82F3A5-F823-4724-8B8D-EAF49BA4C6AE}" id="{603BF5C0-BD00-CC49-836D-CF1CAEBD11E5}">
    <text xml:space="preserve">died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6B64C458-30EC-DA44-8FE5-EAA4E1F1F980}">
    <text>ask tony</text>
  </threadedComment>
  <threadedComment ref="O22" dT="2026-08-04T19:36:02.40" personId="{3B82F3A5-F823-4724-8B8D-EAF49BA4C6AE}" id="{09AB90F0-CDFB-BD4B-B502-3ED6077220F7}">
    <text>need to get from chart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7E3C4736-0044-E24E-8528-D5E76534E43C}">
    <text>ask tony</text>
  </threadedComment>
  <threadedComment ref="O22" dT="2026-08-04T19:36:02.40" personId="{3B82F3A5-F823-4724-8B8D-EAF49BA4C6AE}" id="{1DA92B19-744E-CF4E-A380-75AD5B45D963}">
    <text>need to get from chart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423B8F52-FE25-244D-8786-038C643DBA61}">
    <text>ask tony</text>
  </threadedComment>
  <threadedComment ref="O22" dT="2026-08-04T19:36:02.40" personId="{3B82F3A5-F823-4724-8B8D-EAF49BA4C6AE}" id="{A1944228-1547-3944-A465-0F532B327831}">
    <text>need to get from chart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13C3A174-F62A-EB4C-BD71-FEC7B69466B9}">
    <text>ask tony</text>
  </threadedComment>
  <threadedComment ref="O22" dT="2026-08-04T19:36:02.40" personId="{3B82F3A5-F823-4724-8B8D-EAF49BA4C6AE}" id="{B764CBDD-2C34-264A-A0D5-79FE5E200B02}">
    <text>need to get from chart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FF378FA9-F31E-CA47-A87A-CB68A415618F}" done="1">
    <text>ask tony</text>
  </threadedComment>
  <threadedComment ref="O22" dT="2026-08-04T19:36:02.40" personId="{3B82F3A5-F823-4724-8B8D-EAF49BA4C6AE}" id="{DD58DE3B-E484-4241-A24C-2B2714232592}">
    <text>need to get from chart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EEA5-2045-49C2-BFF2-AA00D1B724E4}">
  <dimension ref="A1:AZ27"/>
  <sheetViews>
    <sheetView topLeftCell="L1" workbookViewId="0">
      <selection activeCell="L22" sqref="L22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98" t="s">
        <v>0</v>
      </c>
      <c r="B1" s="99"/>
      <c r="C1" s="99"/>
      <c r="D1" s="99"/>
      <c r="E1" s="99"/>
      <c r="F1" s="100"/>
      <c r="G1" s="98" t="s">
        <v>1</v>
      </c>
      <c r="H1" s="99"/>
      <c r="I1" s="99"/>
      <c r="J1" s="99"/>
      <c r="K1" s="99"/>
      <c r="L1" s="99"/>
      <c r="M1" s="10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4" thickBot="1">
      <c r="A2" s="101"/>
      <c r="B2" s="102"/>
      <c r="C2" s="102"/>
      <c r="D2" s="102"/>
      <c r="E2" s="102"/>
      <c r="F2" s="103"/>
      <c r="G2" s="101"/>
      <c r="H2" s="102"/>
      <c r="I2" s="102"/>
      <c r="J2" s="102"/>
      <c r="K2" s="102"/>
      <c r="L2" s="102"/>
      <c r="M2" s="10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4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104" t="s">
        <v>3</v>
      </c>
      <c r="C4" s="105"/>
      <c r="D4" s="5"/>
      <c r="E4" s="4" t="s">
        <v>4</v>
      </c>
      <c r="F4" s="106" t="s">
        <v>5</v>
      </c>
      <c r="G4" s="107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4" thickBot="1">
      <c r="A5" s="4" t="s">
        <v>6</v>
      </c>
      <c r="B5" s="104">
        <v>1.85</v>
      </c>
      <c r="C5" s="105"/>
      <c r="D5" s="5"/>
      <c r="E5" s="4" t="s">
        <v>7</v>
      </c>
      <c r="F5" s="108"/>
      <c r="G5" s="109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4" thickBot="1">
      <c r="A6" s="4" t="s">
        <v>8</v>
      </c>
      <c r="B6" s="110">
        <v>45134</v>
      </c>
      <c r="C6" s="11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>
        <v>45.325000000000003</v>
      </c>
      <c r="C7" s="68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4" thickBot="1">
      <c r="A8" s="4" t="s">
        <v>10</v>
      </c>
      <c r="B8" s="8">
        <v>45.325000000000003</v>
      </c>
      <c r="C8" s="70">
        <v>0.45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16.2" thickBot="1">
      <c r="A9" s="4" t="s">
        <v>11</v>
      </c>
      <c r="B9" s="8">
        <v>8219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 ht="15.6">
      <c r="A10" s="4"/>
      <c r="B10" s="7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112" t="s">
        <v>17</v>
      </c>
      <c r="H12" s="112"/>
      <c r="I12" s="112"/>
      <c r="J12" s="112"/>
      <c r="K12" s="112"/>
      <c r="L12" s="17" t="s">
        <v>18</v>
      </c>
      <c r="M12" s="17" t="s">
        <v>19</v>
      </c>
      <c r="N12" s="83" t="s">
        <v>20</v>
      </c>
      <c r="O12" s="83"/>
      <c r="P12" s="83"/>
      <c r="Q12" s="83"/>
      <c r="R12" s="113" t="s">
        <v>21</v>
      </c>
      <c r="S12" s="113"/>
      <c r="T12" s="113"/>
      <c r="U12" s="113"/>
      <c r="V12" s="113"/>
      <c r="W12" s="113"/>
      <c r="X12" s="113"/>
      <c r="Y12" s="113"/>
      <c r="Z12" s="113"/>
      <c r="AA12" s="112" t="s">
        <v>22</v>
      </c>
      <c r="AB12" s="112"/>
      <c r="AC12" s="112"/>
      <c r="AD12" s="112"/>
      <c r="AE12" s="112" t="s">
        <v>23</v>
      </c>
      <c r="AF12" s="112"/>
      <c r="AG12" s="112"/>
      <c r="AH12" s="11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 ht="15.75" customHeight="1" thickBot="1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>
        <v>0.27708333333333335</v>
      </c>
      <c r="C15" s="17" t="s">
        <v>95</v>
      </c>
      <c r="D15" s="17">
        <v>65</v>
      </c>
      <c r="E15" s="17">
        <v>261</v>
      </c>
      <c r="F15" s="17"/>
      <c r="G15" s="31">
        <v>5.8</v>
      </c>
      <c r="H15" s="31">
        <v>12.5</v>
      </c>
      <c r="I15" s="21">
        <v>37.299999999999997</v>
      </c>
      <c r="J15" s="21">
        <v>226</v>
      </c>
      <c r="K15" s="21">
        <v>3</v>
      </c>
      <c r="L15" s="21"/>
      <c r="M15" s="37">
        <f>(L15/(((H15*10)/64500)*10^6))*100</f>
        <v>0</v>
      </c>
      <c r="N15" s="32">
        <v>1.1000000000000001</v>
      </c>
      <c r="O15" s="32">
        <v>7.4960000000000004</v>
      </c>
      <c r="P15" s="32">
        <v>35.9</v>
      </c>
      <c r="Q15" s="32">
        <v>92.1</v>
      </c>
      <c r="R15" s="21">
        <v>19</v>
      </c>
      <c r="S15" s="33">
        <v>37</v>
      </c>
      <c r="T15" s="21">
        <v>179</v>
      </c>
      <c r="U15" s="21">
        <v>0.7</v>
      </c>
      <c r="V15" s="21">
        <v>16.77</v>
      </c>
      <c r="W15" s="21">
        <v>233</v>
      </c>
      <c r="X15" s="21">
        <v>61.25</v>
      </c>
      <c r="Y15" s="21">
        <v>102.95</v>
      </c>
      <c r="Z15" s="21">
        <v>9</v>
      </c>
      <c r="AA15" s="21"/>
      <c r="AB15" s="21"/>
      <c r="AC15" s="21"/>
      <c r="AD15" s="21"/>
      <c r="AE15" s="21">
        <v>13.2</v>
      </c>
      <c r="AF15" s="34">
        <v>17.7</v>
      </c>
      <c r="AG15" s="34">
        <v>75.099999999999994</v>
      </c>
      <c r="AH15" s="34">
        <v>1.94</v>
      </c>
    </row>
    <row r="16" spans="1:52">
      <c r="A16" s="19" t="s">
        <v>96</v>
      </c>
      <c r="B16" s="30">
        <v>0.40138888888888891</v>
      </c>
      <c r="C16" s="17" t="s">
        <v>95</v>
      </c>
      <c r="D16" s="17">
        <v>34</v>
      </c>
      <c r="E16" s="17">
        <v>211</v>
      </c>
      <c r="F16" s="17"/>
      <c r="G16" s="21">
        <v>4.07</v>
      </c>
      <c r="H16" s="21">
        <v>8.6999999999999993</v>
      </c>
      <c r="I16" s="21">
        <v>26.8</v>
      </c>
      <c r="J16" s="21">
        <v>163</v>
      </c>
      <c r="K16" s="21">
        <v>7.9</v>
      </c>
      <c r="L16" s="21"/>
      <c r="M16" s="37">
        <f t="shared" ref="M16:M25" si="0">(L16/(((H16*10)/64500)*10^6))*100</f>
        <v>0</v>
      </c>
      <c r="N16" s="32">
        <v>2</v>
      </c>
      <c r="O16" s="32">
        <v>7.41</v>
      </c>
      <c r="P16" s="32">
        <v>52.7</v>
      </c>
      <c r="Q16" s="32">
        <v>73.8</v>
      </c>
      <c r="R16" s="21">
        <v>36</v>
      </c>
      <c r="S16" s="21">
        <v>93</v>
      </c>
      <c r="T16" s="21">
        <v>152</v>
      </c>
      <c r="U16" s="21">
        <v>1.4</v>
      </c>
      <c r="V16" s="21">
        <v>21.73</v>
      </c>
      <c r="W16" s="21">
        <v>279</v>
      </c>
      <c r="X16" s="21">
        <v>140.9</v>
      </c>
      <c r="Y16" s="21">
        <v>197.56</v>
      </c>
      <c r="Z16" s="21">
        <v>7</v>
      </c>
      <c r="AA16" s="21">
        <v>14.2</v>
      </c>
      <c r="AB16" s="21"/>
      <c r="AC16" s="21"/>
      <c r="AD16" s="21">
        <v>52</v>
      </c>
      <c r="AE16" s="21">
        <v>19.899999999999999</v>
      </c>
      <c r="AF16" s="34">
        <v>12.6</v>
      </c>
      <c r="AG16" s="34">
        <v>56.6</v>
      </c>
      <c r="AH16" s="34">
        <v>2.77</v>
      </c>
    </row>
    <row r="17" spans="1:34">
      <c r="A17" s="19" t="s">
        <v>97</v>
      </c>
      <c r="B17" s="30">
        <v>0.40833333333333333</v>
      </c>
      <c r="C17" s="17" t="s">
        <v>95</v>
      </c>
      <c r="D17" s="17">
        <v>41</v>
      </c>
      <c r="E17" s="17">
        <v>210</v>
      </c>
      <c r="F17" s="17"/>
      <c r="G17" s="21">
        <v>3.21</v>
      </c>
      <c r="H17" s="21">
        <v>7</v>
      </c>
      <c r="I17" s="21">
        <v>20.9</v>
      </c>
      <c r="J17" s="21">
        <v>116</v>
      </c>
      <c r="K17" s="21">
        <v>7.8</v>
      </c>
      <c r="L17" s="21"/>
      <c r="M17" s="37">
        <f t="shared" si="0"/>
        <v>0</v>
      </c>
      <c r="N17" s="32">
        <v>4.5</v>
      </c>
      <c r="O17" s="32">
        <v>7.3780000000000001</v>
      </c>
      <c r="P17" s="32">
        <v>52.8</v>
      </c>
      <c r="Q17" s="32">
        <v>79.3</v>
      </c>
      <c r="R17" s="21">
        <v>28</v>
      </c>
      <c r="S17" s="21">
        <v>66</v>
      </c>
      <c r="T17" s="21">
        <v>143</v>
      </c>
      <c r="U17" s="21">
        <v>1.1000000000000001</v>
      </c>
      <c r="V17" s="21">
        <v>19.829999999999998</v>
      </c>
      <c r="W17" s="21">
        <v>216</v>
      </c>
      <c r="X17" s="21">
        <v>111.19</v>
      </c>
      <c r="Y17" s="21">
        <v>174.27</v>
      </c>
      <c r="Z17" s="21">
        <v>6</v>
      </c>
      <c r="AA17" s="21">
        <v>6.1</v>
      </c>
      <c r="AB17" s="21">
        <v>2.1</v>
      </c>
      <c r="AC17" s="21">
        <v>64.099999999999994</v>
      </c>
      <c r="AD17" s="21">
        <v>51</v>
      </c>
      <c r="AE17" s="21">
        <v>131.4</v>
      </c>
      <c r="AF17" s="34">
        <v>13.7</v>
      </c>
      <c r="AG17" s="34">
        <v>19.7</v>
      </c>
      <c r="AH17" s="34">
        <v>2.27</v>
      </c>
    </row>
    <row r="18" spans="1:34">
      <c r="A18" s="36" t="s">
        <v>98</v>
      </c>
      <c r="B18" s="30">
        <v>0.45</v>
      </c>
      <c r="C18" s="17" t="s">
        <v>95</v>
      </c>
      <c r="D18" s="17">
        <v>61</v>
      </c>
      <c r="E18" s="17">
        <v>255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1.2</v>
      </c>
      <c r="O18" s="32">
        <v>7.548</v>
      </c>
      <c r="P18" s="32">
        <v>34.9</v>
      </c>
      <c r="Q18" s="32">
        <v>120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>
        <v>0.49166666666666664</v>
      </c>
      <c r="C19" s="17" t="s">
        <v>95</v>
      </c>
      <c r="D19" s="17">
        <v>65</v>
      </c>
      <c r="E19" s="17">
        <v>281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3</v>
      </c>
      <c r="O19" s="32">
        <v>7.4370000000000003</v>
      </c>
      <c r="P19" s="32">
        <v>32.9</v>
      </c>
      <c r="Q19" s="32">
        <v>106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>
        <v>0.53333333333333333</v>
      </c>
      <c r="C20" s="17" t="s">
        <v>95</v>
      </c>
      <c r="D20" s="17">
        <v>58</v>
      </c>
      <c r="E20" s="17">
        <v>299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3.3</v>
      </c>
      <c r="O20" s="32">
        <v>7.4809999999999999</v>
      </c>
      <c r="P20" s="32">
        <v>35.6</v>
      </c>
      <c r="Q20" s="32">
        <v>96.4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>
        <v>0.54027777777777775</v>
      </c>
      <c r="C21" s="17" t="s">
        <v>95</v>
      </c>
      <c r="D21" s="17">
        <v>30</v>
      </c>
      <c r="E21" s="17">
        <v>282</v>
      </c>
      <c r="F21" s="17"/>
      <c r="G21" s="21">
        <v>3.75</v>
      </c>
      <c r="H21" s="21">
        <v>8.1</v>
      </c>
      <c r="I21" s="21">
        <v>24.4</v>
      </c>
      <c r="J21" s="21">
        <v>96</v>
      </c>
      <c r="K21" s="21">
        <v>5.7</v>
      </c>
      <c r="L21" s="21"/>
      <c r="M21" s="37">
        <f t="shared" si="0"/>
        <v>0</v>
      </c>
      <c r="N21" s="69">
        <v>5.8</v>
      </c>
      <c r="O21" s="32">
        <v>7.4349999999999996</v>
      </c>
      <c r="P21" s="32">
        <v>38.299999999999997</v>
      </c>
      <c r="Q21" s="32">
        <v>88.6</v>
      </c>
      <c r="R21" s="21">
        <v>33</v>
      </c>
      <c r="S21" s="21">
        <v>62</v>
      </c>
      <c r="T21" s="21">
        <v>127</v>
      </c>
      <c r="U21" s="21">
        <v>1</v>
      </c>
      <c r="V21" s="21">
        <v>20.010000000000002</v>
      </c>
      <c r="W21" s="21">
        <v>257</v>
      </c>
      <c r="X21" s="21">
        <v>180.62</v>
      </c>
      <c r="Y21" s="21">
        <v>195.79</v>
      </c>
      <c r="Z21" s="21">
        <v>5</v>
      </c>
      <c r="AA21" s="12"/>
      <c r="AB21" s="12"/>
      <c r="AC21" s="12"/>
      <c r="AD21" s="12"/>
      <c r="AE21" s="12">
        <v>133.19999999999999</v>
      </c>
      <c r="AF21" s="12">
        <v>27.5</v>
      </c>
      <c r="AG21" s="34">
        <v>17.600000000000001</v>
      </c>
      <c r="AH21" s="34">
        <v>1.36</v>
      </c>
    </row>
    <row r="22" spans="1:34">
      <c r="A22" s="19" t="s">
        <v>102</v>
      </c>
      <c r="B22" s="30">
        <v>0.58194444444444449</v>
      </c>
      <c r="C22" s="17" t="s">
        <v>95</v>
      </c>
      <c r="D22" s="17">
        <v>48</v>
      </c>
      <c r="E22" s="17">
        <v>291</v>
      </c>
      <c r="F22" s="17"/>
      <c r="G22" s="21">
        <v>3.42</v>
      </c>
      <c r="H22" s="21">
        <v>7.5</v>
      </c>
      <c r="I22" s="21">
        <v>22.3</v>
      </c>
      <c r="J22" s="21">
        <v>106</v>
      </c>
      <c r="K22" s="21">
        <v>6.9</v>
      </c>
      <c r="L22" s="21"/>
      <c r="M22" s="37">
        <f t="shared" si="0"/>
        <v>0</v>
      </c>
      <c r="N22" s="32">
        <v>4</v>
      </c>
      <c r="O22">
        <v>7.49</v>
      </c>
      <c r="P22" s="32">
        <v>32.9</v>
      </c>
      <c r="Q22" s="32">
        <v>97.1</v>
      </c>
      <c r="R22" s="21">
        <v>13</v>
      </c>
      <c r="S22" s="21">
        <v>24</v>
      </c>
      <c r="T22" s="21">
        <v>50</v>
      </c>
      <c r="U22" s="21">
        <v>0.4</v>
      </c>
      <c r="V22" s="21">
        <v>7.51</v>
      </c>
      <c r="W22" s="21">
        <v>107</v>
      </c>
      <c r="X22" s="21">
        <v>74.53</v>
      </c>
      <c r="Y22" s="21">
        <v>61.18</v>
      </c>
      <c r="Z22" s="21">
        <v>2</v>
      </c>
      <c r="AA22" s="12">
        <v>7.5</v>
      </c>
      <c r="AB22" s="12">
        <v>2.2000000000000002</v>
      </c>
      <c r="AC22" s="12">
        <v>65.599999999999994</v>
      </c>
      <c r="AD22" s="12">
        <v>52.7</v>
      </c>
      <c r="AE22" s="12">
        <v>135.1</v>
      </c>
      <c r="AF22" s="12">
        <v>12.4</v>
      </c>
      <c r="AG22" s="34">
        <v>19.5</v>
      </c>
      <c r="AH22" s="34">
        <v>1.46</v>
      </c>
    </row>
    <row r="23" spans="1:34">
      <c r="A23" s="19" t="s">
        <v>103</v>
      </c>
      <c r="B23" s="30">
        <v>0.40833333333333333</v>
      </c>
      <c r="C23" s="17" t="s">
        <v>95</v>
      </c>
      <c r="D23" s="17">
        <v>46</v>
      </c>
      <c r="E23" s="17">
        <v>289</v>
      </c>
      <c r="F23" s="17"/>
      <c r="G23" s="21">
        <v>2.82</v>
      </c>
      <c r="H23" s="21">
        <v>6.4</v>
      </c>
      <c r="I23" s="21">
        <v>18.399999999999999</v>
      </c>
      <c r="J23" s="21">
        <v>196</v>
      </c>
      <c r="K23" s="21">
        <v>9.9</v>
      </c>
      <c r="L23" s="21"/>
      <c r="M23" s="37">
        <f t="shared" si="0"/>
        <v>0</v>
      </c>
      <c r="N23" s="32">
        <v>0.9</v>
      </c>
      <c r="O23" s="32">
        <v>7.4720000000000004</v>
      </c>
      <c r="P23" s="32">
        <v>36.9</v>
      </c>
      <c r="Q23" s="32">
        <v>87.3</v>
      </c>
      <c r="R23" s="21">
        <v>39</v>
      </c>
      <c r="S23" s="21">
        <v>113</v>
      </c>
      <c r="T23" s="21">
        <v>75</v>
      </c>
      <c r="U23" s="21">
        <v>0.8</v>
      </c>
      <c r="V23" s="21">
        <v>23.07</v>
      </c>
      <c r="W23" s="21">
        <v>374</v>
      </c>
      <c r="X23" s="21">
        <v>540.66999999999996</v>
      </c>
      <c r="Y23" s="21">
        <v>148.56</v>
      </c>
      <c r="Z23" s="21">
        <v>6</v>
      </c>
      <c r="AA23" s="12">
        <v>6.4</v>
      </c>
      <c r="AB23" s="12">
        <v>2.4</v>
      </c>
      <c r="AC23" s="12">
        <v>58.1</v>
      </c>
      <c r="AD23" s="12">
        <v>71.900000000000006</v>
      </c>
      <c r="AE23" s="12">
        <v>135.4</v>
      </c>
      <c r="AF23" s="12">
        <v>10.5</v>
      </c>
      <c r="AG23" s="34">
        <v>19.899999999999999</v>
      </c>
      <c r="AH23" s="34">
        <v>4.7699999999999996</v>
      </c>
    </row>
    <row r="24" spans="1:34">
      <c r="A24" s="19" t="s">
        <v>104</v>
      </c>
      <c r="B24" s="30"/>
      <c r="C24" s="17" t="s">
        <v>95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/>
      <c r="B25" s="30"/>
      <c r="C25" s="17"/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</row>
    <row r="27" spans="1:34">
      <c r="A27" s="10"/>
      <c r="B27" s="35"/>
      <c r="C27" s="35"/>
      <c r="D27" s="35"/>
      <c r="E27" s="35"/>
      <c r="F27" s="35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49" priority="1" operator="equal">
      <formula>"incomplete"</formula>
    </cfRule>
    <cfRule type="cellIs" dxfId="4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4A8EC44-3997-4B3D-902D-A49FA43E1746}">
      <formula1>"incomplete, COMPLETED"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9B05-EE1B-0442-A586-DF920F53B880}">
  <dimension ref="A1:AZ26"/>
  <sheetViews>
    <sheetView topLeftCell="AC1" workbookViewId="0">
      <selection activeCell="B10" sqref="B10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25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25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105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25" customHeight="1">
      <c r="A5" s="41" t="s">
        <v>106</v>
      </c>
      <c r="B5" s="91">
        <v>1.66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25" customHeight="1">
      <c r="A6" s="41" t="s">
        <v>8</v>
      </c>
      <c r="B6" s="114">
        <v>45135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52.29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52.29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8220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6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.7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0.25</v>
      </c>
      <c r="C15" s="49" t="s">
        <v>95</v>
      </c>
      <c r="D15" s="49">
        <v>65</v>
      </c>
      <c r="E15" s="49">
        <v>199</v>
      </c>
      <c r="F15" s="49"/>
      <c r="G15" s="62">
        <v>5.56</v>
      </c>
      <c r="H15" s="62">
        <v>12.1</v>
      </c>
      <c r="I15" s="53">
        <v>36.6</v>
      </c>
      <c r="J15" s="53">
        <v>197</v>
      </c>
      <c r="K15" s="53">
        <v>2.5</v>
      </c>
      <c r="L15" s="53"/>
      <c r="M15" s="63">
        <f t="shared" ref="M15:M24" si="0">(L15/(((H15*10)/64500)*10^6))*100</f>
        <v>0</v>
      </c>
      <c r="N15" s="32">
        <v>1.2</v>
      </c>
      <c r="O15" s="32">
        <v>7.4489999999999998</v>
      </c>
      <c r="P15" s="32">
        <v>37.9</v>
      </c>
      <c r="Q15" s="32">
        <v>77</v>
      </c>
      <c r="R15" s="53">
        <v>44</v>
      </c>
      <c r="S15" s="33">
        <v>42</v>
      </c>
      <c r="T15" s="53">
        <v>125</v>
      </c>
      <c r="U15" s="53">
        <v>0.6</v>
      </c>
      <c r="V15" s="53">
        <v>14.97</v>
      </c>
      <c r="W15" s="53">
        <v>315</v>
      </c>
      <c r="X15" s="53">
        <v>124.87</v>
      </c>
      <c r="Y15" s="53">
        <v>159.74</v>
      </c>
      <c r="Z15" s="53">
        <v>4</v>
      </c>
      <c r="AA15" s="53">
        <v>6.9</v>
      </c>
      <c r="AB15" s="53">
        <v>1.8</v>
      </c>
      <c r="AC15" s="53">
        <v>66.8</v>
      </c>
      <c r="AD15" s="53"/>
      <c r="AE15" s="53">
        <v>136.1</v>
      </c>
      <c r="AF15" s="34">
        <v>17.5</v>
      </c>
      <c r="AG15" s="34">
        <v>22.3</v>
      </c>
      <c r="AH15" s="34">
        <v>1.29</v>
      </c>
    </row>
    <row r="16" spans="1:52">
      <c r="A16" s="51" t="s">
        <v>96</v>
      </c>
      <c r="B16" s="61">
        <v>0.38958333333333334</v>
      </c>
      <c r="C16" s="49" t="s">
        <v>95</v>
      </c>
      <c r="D16" s="49">
        <v>42</v>
      </c>
      <c r="E16" s="49">
        <v>228</v>
      </c>
      <c r="F16" s="49"/>
      <c r="G16" s="53">
        <v>3.4</v>
      </c>
      <c r="H16" s="53">
        <v>7.5</v>
      </c>
      <c r="I16" s="53">
        <v>22.2</v>
      </c>
      <c r="J16" s="53">
        <v>147</v>
      </c>
      <c r="K16" s="53">
        <v>4.5999999999999996</v>
      </c>
      <c r="L16" s="53"/>
      <c r="M16" s="63">
        <f t="shared" si="0"/>
        <v>0</v>
      </c>
      <c r="N16" s="32">
        <v>17</v>
      </c>
      <c r="O16" s="32">
        <v>7.3289999999999997</v>
      </c>
      <c r="P16" s="32">
        <v>26.1</v>
      </c>
      <c r="Q16" s="32">
        <v>99.2</v>
      </c>
      <c r="R16" s="53">
        <v>63</v>
      </c>
      <c r="S16" s="53">
        <v>43</v>
      </c>
      <c r="T16" s="53">
        <v>222</v>
      </c>
      <c r="U16" s="53">
        <v>1.2</v>
      </c>
      <c r="V16" s="53">
        <v>26.11</v>
      </c>
      <c r="W16" s="53">
        <v>246</v>
      </c>
      <c r="X16" s="53">
        <v>171.62</v>
      </c>
      <c r="Y16" s="53">
        <v>402.38</v>
      </c>
      <c r="Z16" s="53">
        <v>6</v>
      </c>
      <c r="AA16" s="53">
        <v>7.3</v>
      </c>
      <c r="AB16" s="53"/>
      <c r="AC16" s="53"/>
      <c r="AD16" s="53"/>
      <c r="AE16" s="53">
        <v>128.4</v>
      </c>
      <c r="AF16" s="34">
        <v>11.7</v>
      </c>
      <c r="AG16" s="34"/>
      <c r="AH16" s="34">
        <v>3.85</v>
      </c>
    </row>
    <row r="17" spans="1:34">
      <c r="A17" s="51" t="s">
        <v>97</v>
      </c>
      <c r="B17" s="61">
        <v>0.39652777777777776</v>
      </c>
      <c r="C17" s="49" t="s">
        <v>95</v>
      </c>
      <c r="D17" s="49">
        <v>46</v>
      </c>
      <c r="E17" s="49">
        <v>286</v>
      </c>
      <c r="F17" s="49"/>
      <c r="G17" s="53">
        <v>2.4900000000000002</v>
      </c>
      <c r="H17" s="53">
        <v>5.5</v>
      </c>
      <c r="I17" s="53">
        <v>16.2</v>
      </c>
      <c r="J17" s="53">
        <v>121</v>
      </c>
      <c r="K17" s="53">
        <v>5.5</v>
      </c>
      <c r="L17" s="53"/>
      <c r="M17" s="63">
        <f t="shared" si="0"/>
        <v>0</v>
      </c>
      <c r="N17" s="32">
        <v>18</v>
      </c>
      <c r="O17" s="32">
        <v>7.2720000000000002</v>
      </c>
      <c r="P17" s="32">
        <v>29.9</v>
      </c>
      <c r="Q17" s="32">
        <v>121</v>
      </c>
      <c r="R17" s="53">
        <v>53</v>
      </c>
      <c r="S17" s="53">
        <v>38</v>
      </c>
      <c r="T17" s="53">
        <v>225</v>
      </c>
      <c r="U17" s="53">
        <v>1.2</v>
      </c>
      <c r="V17" s="53">
        <v>23.44</v>
      </c>
      <c r="W17" s="53">
        <v>180</v>
      </c>
      <c r="X17" s="53">
        <v>147.66</v>
      </c>
      <c r="Y17" s="53">
        <v>368.53</v>
      </c>
      <c r="Z17" s="53">
        <v>6</v>
      </c>
      <c r="AA17" s="53">
        <v>5.8</v>
      </c>
      <c r="AB17" s="53">
        <v>1.8</v>
      </c>
      <c r="AC17" s="53">
        <v>67.3</v>
      </c>
      <c r="AD17" s="53"/>
      <c r="AE17" s="53">
        <v>135.30000000000001</v>
      </c>
      <c r="AF17" s="34">
        <v>18.2</v>
      </c>
      <c r="AG17" s="34">
        <v>15.7</v>
      </c>
      <c r="AH17" s="34">
        <v>1.17</v>
      </c>
    </row>
    <row r="18" spans="1:34">
      <c r="A18" s="65" t="s">
        <v>98</v>
      </c>
      <c r="B18" s="61">
        <v>0.43819444444444444</v>
      </c>
      <c r="C18" s="49" t="s">
        <v>95</v>
      </c>
      <c r="D18" s="49">
        <v>47</v>
      </c>
      <c r="E18" s="49">
        <v>284</v>
      </c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>
        <v>13.9</v>
      </c>
      <c r="O18" s="32">
        <v>7.375</v>
      </c>
      <c r="P18" s="32">
        <v>28.1</v>
      </c>
      <c r="Q18" s="32">
        <v>111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>
        <v>0.47986111111111113</v>
      </c>
      <c r="C19" s="49" t="s">
        <v>95</v>
      </c>
      <c r="D19" s="49">
        <v>62</v>
      </c>
      <c r="E19" s="49">
        <v>270</v>
      </c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>
        <v>11</v>
      </c>
      <c r="O19" s="32">
        <v>7.2960000000000003</v>
      </c>
      <c r="P19" s="32">
        <v>31.8</v>
      </c>
      <c r="Q19" s="32">
        <v>104</v>
      </c>
      <c r="R19" s="53"/>
      <c r="S19" s="53"/>
      <c r="T19" s="53"/>
      <c r="U19" s="53"/>
      <c r="V19" s="53"/>
      <c r="W19" s="53"/>
      <c r="X19" s="53"/>
      <c r="Y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>
        <v>0.52152777777777781</v>
      </c>
      <c r="C20" s="49" t="s">
        <v>95</v>
      </c>
      <c r="D20" s="49">
        <v>33</v>
      </c>
      <c r="E20" s="49">
        <v>270</v>
      </c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>
        <v>13.1</v>
      </c>
      <c r="O20" s="32">
        <v>7.3019999999999996</v>
      </c>
      <c r="P20" s="32">
        <v>22.3</v>
      </c>
      <c r="Q20" s="32">
        <v>120</v>
      </c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>
        <v>0.52847222222222223</v>
      </c>
      <c r="C21" s="49" t="s">
        <v>95</v>
      </c>
      <c r="D21" s="49">
        <v>29</v>
      </c>
      <c r="E21" s="49">
        <v>263</v>
      </c>
      <c r="F21" s="49"/>
      <c r="G21" s="53">
        <v>3.67</v>
      </c>
      <c r="H21" s="53">
        <v>8.1</v>
      </c>
      <c r="I21" s="53">
        <v>23.9</v>
      </c>
      <c r="J21" s="53">
        <v>66</v>
      </c>
      <c r="K21" s="53">
        <v>4.2</v>
      </c>
      <c r="L21" s="53"/>
      <c r="M21" s="63">
        <f t="shared" si="0"/>
        <v>0</v>
      </c>
      <c r="N21" s="32">
        <v>14.5</v>
      </c>
      <c r="O21" s="32">
        <v>7.2770000000000001</v>
      </c>
      <c r="P21" s="32">
        <v>21.5</v>
      </c>
      <c r="Q21" s="32">
        <v>120</v>
      </c>
      <c r="R21" s="53">
        <v>78</v>
      </c>
      <c r="S21" s="53">
        <v>39</v>
      </c>
      <c r="T21" s="53">
        <v>408</v>
      </c>
      <c r="U21" s="53">
        <v>0.5</v>
      </c>
      <c r="V21" s="53">
        <v>30.56</v>
      </c>
      <c r="W21" s="53">
        <v>197</v>
      </c>
      <c r="X21" s="53">
        <v>235.8</v>
      </c>
      <c r="Y21" s="53">
        <v>340.07</v>
      </c>
      <c r="Z21" s="53">
        <v>5</v>
      </c>
      <c r="AA21" s="34"/>
      <c r="AB21" s="34"/>
      <c r="AC21" s="34"/>
      <c r="AD21" s="34"/>
      <c r="AE21" s="34">
        <v>8.9</v>
      </c>
      <c r="AF21" s="34">
        <v>28.5</v>
      </c>
      <c r="AG21" s="34"/>
      <c r="AH21" s="34">
        <v>2.08</v>
      </c>
    </row>
    <row r="22" spans="1:34">
      <c r="A22" s="51" t="s">
        <v>107</v>
      </c>
      <c r="B22" s="61">
        <v>0.57013888888888886</v>
      </c>
      <c r="C22" s="49" t="s">
        <v>95</v>
      </c>
      <c r="D22" s="49">
        <v>23</v>
      </c>
      <c r="E22" s="49">
        <v>264</v>
      </c>
      <c r="F22" s="49"/>
      <c r="G22" s="53">
        <v>3.72</v>
      </c>
      <c r="H22" s="53">
        <v>8.1</v>
      </c>
      <c r="I22" s="53">
        <v>24.4</v>
      </c>
      <c r="J22" s="53">
        <v>83</v>
      </c>
      <c r="K22" s="53">
        <v>3</v>
      </c>
      <c r="L22" s="53"/>
      <c r="M22" s="63">
        <f t="shared" si="0"/>
        <v>0</v>
      </c>
      <c r="N22" s="32">
        <v>21</v>
      </c>
      <c r="O22" s="32">
        <v>7.1479999999999997</v>
      </c>
      <c r="P22" s="32">
        <v>5.4</v>
      </c>
      <c r="Q22" s="32">
        <v>129</v>
      </c>
      <c r="R22" s="53">
        <v>125</v>
      </c>
      <c r="S22" s="53">
        <v>58</v>
      </c>
      <c r="T22" s="53">
        <v>490</v>
      </c>
      <c r="U22" s="53">
        <v>0.6</v>
      </c>
      <c r="V22" s="53">
        <v>32.68</v>
      </c>
      <c r="W22" s="53">
        <v>227</v>
      </c>
      <c r="X22" s="53">
        <v>199.36</v>
      </c>
      <c r="Y22" s="53">
        <v>312.14999999999998</v>
      </c>
      <c r="Z22" s="53">
        <v>6</v>
      </c>
      <c r="AA22" s="34">
        <v>8.6</v>
      </c>
      <c r="AB22" s="34"/>
      <c r="AC22" s="34"/>
      <c r="AD22" s="34"/>
      <c r="AE22" s="34">
        <v>19</v>
      </c>
      <c r="AF22" s="34">
        <v>22.7</v>
      </c>
      <c r="AG22" s="34"/>
      <c r="AH22" s="34">
        <v>2.38</v>
      </c>
    </row>
    <row r="23" spans="1:34">
      <c r="A23" s="51" t="s">
        <v>108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46"/>
      <c r="B25" s="64"/>
      <c r="C25" s="64"/>
      <c r="D25" s="64"/>
      <c r="E25" s="64"/>
      <c r="F25" s="64"/>
      <c r="G25" s="6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47" priority="1" operator="equal">
      <formula>"incomplete"</formula>
    </cfRule>
    <cfRule type="cellIs" dxfId="4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E323DF0-6856-5D45-BCEF-00C0455729F2}">
      <formula1>"incomplete, COMPLETED"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D9B8-36A0-1B45-B942-46E696B9321D}">
  <dimension ref="A1:AZ27"/>
  <sheetViews>
    <sheetView topLeftCell="T6" workbookViewId="0">
      <selection activeCell="K24" sqref="K24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1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109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91">
        <v>1.94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114">
        <v>45141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53.75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53.75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8219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0.28472222222222221</v>
      </c>
      <c r="C15" s="49" t="s">
        <v>95</v>
      </c>
      <c r="D15" t="s">
        <v>110</v>
      </c>
      <c r="E15">
        <v>240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>
        <v>3.3</v>
      </c>
      <c r="L15" t="s">
        <v>111</v>
      </c>
      <c r="M15" t="s">
        <v>111</v>
      </c>
      <c r="N15" t="s">
        <v>116</v>
      </c>
      <c r="O15">
        <v>7.4969999999999999</v>
      </c>
      <c r="P15">
        <v>40.299999999999997</v>
      </c>
      <c r="Q15">
        <v>78.3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111</v>
      </c>
      <c r="AC15" t="s">
        <v>111</v>
      </c>
      <c r="AD15" t="s">
        <v>127</v>
      </c>
      <c r="AE15" s="53">
        <v>123.4</v>
      </c>
      <c r="AF15" s="34">
        <v>12.6</v>
      </c>
      <c r="AG15" s="34">
        <v>36.200000000000003</v>
      </c>
      <c r="AH15" s="34">
        <v>1.95</v>
      </c>
    </row>
    <row r="16" spans="1:52">
      <c r="A16" s="51" t="s">
        <v>96</v>
      </c>
      <c r="B16" s="61">
        <v>0.4201388888888889</v>
      </c>
      <c r="C16" s="49" t="s">
        <v>95</v>
      </c>
      <c r="D16" t="s">
        <v>128</v>
      </c>
      <c r="E16">
        <v>239</v>
      </c>
      <c r="F16" t="s">
        <v>111</v>
      </c>
      <c r="G16" t="s">
        <v>129</v>
      </c>
      <c r="H16" t="s">
        <v>130</v>
      </c>
      <c r="I16" t="s">
        <v>131</v>
      </c>
      <c r="J16" t="s">
        <v>132</v>
      </c>
      <c r="K16">
        <v>4.8</v>
      </c>
      <c r="L16" t="s">
        <v>111</v>
      </c>
      <c r="M16" t="s">
        <v>111</v>
      </c>
      <c r="N16" t="s">
        <v>126</v>
      </c>
      <c r="O16">
        <v>7.3970000000000002</v>
      </c>
      <c r="P16">
        <v>39.4</v>
      </c>
      <c r="Q16">
        <v>86.6</v>
      </c>
      <c r="R16" t="s">
        <v>133</v>
      </c>
      <c r="S16" t="s">
        <v>134</v>
      </c>
      <c r="T16" t="s">
        <v>135</v>
      </c>
      <c r="U16" t="s">
        <v>136</v>
      </c>
      <c r="V16" t="s">
        <v>137</v>
      </c>
      <c r="W16" t="s">
        <v>138</v>
      </c>
      <c r="X16" t="s">
        <v>139</v>
      </c>
      <c r="Y16" t="s">
        <v>140</v>
      </c>
      <c r="Z16" t="s">
        <v>141</v>
      </c>
      <c r="AA16" t="s">
        <v>142</v>
      </c>
      <c r="AB16" t="s">
        <v>143</v>
      </c>
      <c r="AC16" t="s">
        <v>144</v>
      </c>
      <c r="AD16" t="s">
        <v>145</v>
      </c>
      <c r="AE16" s="34">
        <v>105.6</v>
      </c>
      <c r="AF16" s="34">
        <v>11.1</v>
      </c>
      <c r="AG16" s="34">
        <v>21</v>
      </c>
      <c r="AH16" s="34">
        <v>1.98</v>
      </c>
    </row>
    <row r="17" spans="1:34">
      <c r="A17" s="51" t="s">
        <v>97</v>
      </c>
      <c r="B17" s="61" t="s">
        <v>146</v>
      </c>
      <c r="C17" s="49" t="s">
        <v>95</v>
      </c>
      <c r="D17" t="s">
        <v>147</v>
      </c>
      <c r="E17">
        <v>220</v>
      </c>
      <c r="F17" t="s">
        <v>111</v>
      </c>
      <c r="G17" t="s">
        <v>148</v>
      </c>
      <c r="H17" t="s">
        <v>149</v>
      </c>
      <c r="I17" t="s">
        <v>150</v>
      </c>
      <c r="J17" t="s">
        <v>151</v>
      </c>
      <c r="K17">
        <v>4.8</v>
      </c>
      <c r="L17" t="s">
        <v>111</v>
      </c>
      <c r="M17" t="s">
        <v>111</v>
      </c>
      <c r="N17" t="s">
        <v>152</v>
      </c>
      <c r="O17">
        <v>7.3550000000000004</v>
      </c>
      <c r="P17">
        <v>40.700000000000003</v>
      </c>
      <c r="Q17">
        <v>91.9</v>
      </c>
      <c r="R17" t="s">
        <v>153</v>
      </c>
      <c r="S17" t="s">
        <v>153</v>
      </c>
      <c r="T17" t="s">
        <v>154</v>
      </c>
      <c r="U17" t="s">
        <v>136</v>
      </c>
      <c r="V17" t="s">
        <v>155</v>
      </c>
      <c r="W17" t="s">
        <v>119</v>
      </c>
      <c r="X17" t="s">
        <v>156</v>
      </c>
      <c r="Y17" t="s">
        <v>157</v>
      </c>
      <c r="Z17" t="s">
        <v>142</v>
      </c>
      <c r="AA17" t="s">
        <v>158</v>
      </c>
      <c r="AB17" t="s">
        <v>143</v>
      </c>
      <c r="AC17" t="s">
        <v>159</v>
      </c>
      <c r="AD17" t="s">
        <v>160</v>
      </c>
      <c r="AE17" s="34">
        <v>100.9</v>
      </c>
      <c r="AF17" s="34">
        <v>11.4</v>
      </c>
      <c r="AG17" s="34">
        <v>16.7</v>
      </c>
      <c r="AH17" s="34">
        <v>1.78</v>
      </c>
    </row>
    <row r="18" spans="1:34">
      <c r="A18" s="65" t="s">
        <v>98</v>
      </c>
      <c r="B18" s="61" t="s">
        <v>161</v>
      </c>
      <c r="C18" s="49" t="s">
        <v>95</v>
      </c>
      <c r="D18" t="s">
        <v>162</v>
      </c>
      <c r="E18">
        <v>168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163</v>
      </c>
      <c r="O18">
        <v>7.46</v>
      </c>
      <c r="P18">
        <v>36.299999999999997</v>
      </c>
      <c r="Q18">
        <v>104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>
        <v>0.51041666666666663</v>
      </c>
      <c r="C19" s="49" t="s">
        <v>95</v>
      </c>
      <c r="D19" t="s">
        <v>164</v>
      </c>
      <c r="E19">
        <v>250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165</v>
      </c>
      <c r="O19">
        <v>7.4029999999999996</v>
      </c>
      <c r="P19">
        <v>33.6</v>
      </c>
      <c r="Q19">
        <v>104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166</v>
      </c>
      <c r="B20" s="61" t="s">
        <v>167</v>
      </c>
      <c r="C20" s="49" t="s">
        <v>95</v>
      </c>
      <c r="D20" t="s">
        <v>168</v>
      </c>
      <c r="E20">
        <v>268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169</v>
      </c>
      <c r="O20">
        <v>7.4009999999999998</v>
      </c>
      <c r="P20">
        <v>32.200000000000003</v>
      </c>
      <c r="Q20">
        <v>98.1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170</v>
      </c>
      <c r="C21" s="49" t="s">
        <v>95</v>
      </c>
      <c r="D21" t="s">
        <v>168</v>
      </c>
      <c r="E21">
        <v>265</v>
      </c>
      <c r="F21" t="s">
        <v>111</v>
      </c>
      <c r="G21" t="s">
        <v>171</v>
      </c>
      <c r="H21" t="s">
        <v>126</v>
      </c>
      <c r="I21" t="s">
        <v>172</v>
      </c>
      <c r="J21" t="s">
        <v>173</v>
      </c>
      <c r="K21">
        <v>3.9</v>
      </c>
      <c r="L21" t="s">
        <v>111</v>
      </c>
      <c r="M21" t="s">
        <v>111</v>
      </c>
      <c r="N21" t="s">
        <v>174</v>
      </c>
      <c r="O21">
        <v>7.399</v>
      </c>
      <c r="P21">
        <v>33.4</v>
      </c>
      <c r="Q21">
        <v>87</v>
      </c>
      <c r="R21" t="s">
        <v>175</v>
      </c>
      <c r="S21" t="s">
        <v>176</v>
      </c>
      <c r="T21" t="s">
        <v>177</v>
      </c>
      <c r="U21" t="s">
        <v>178</v>
      </c>
      <c r="V21" t="s">
        <v>179</v>
      </c>
      <c r="W21" t="s">
        <v>180</v>
      </c>
      <c r="X21" t="s">
        <v>181</v>
      </c>
      <c r="Y21" t="s">
        <v>182</v>
      </c>
      <c r="Z21" t="s">
        <v>183</v>
      </c>
      <c r="AA21" t="s">
        <v>111</v>
      </c>
      <c r="AB21" t="s">
        <v>111</v>
      </c>
      <c r="AC21" t="s">
        <v>111</v>
      </c>
      <c r="AD21" t="s">
        <v>111</v>
      </c>
      <c r="AE21" s="34">
        <v>23.5</v>
      </c>
      <c r="AF21" s="34">
        <v>16.8</v>
      </c>
      <c r="AG21" s="34"/>
      <c r="AH21" s="34">
        <v>2.2200000000000002</v>
      </c>
    </row>
    <row r="22" spans="1:34">
      <c r="A22" s="51" t="s">
        <v>102</v>
      </c>
      <c r="B22" s="61">
        <v>0.60069444444444442</v>
      </c>
      <c r="C22" s="49" t="s">
        <v>95</v>
      </c>
      <c r="D22" t="s">
        <v>184</v>
      </c>
      <c r="E22">
        <v>277</v>
      </c>
      <c r="F22" t="s">
        <v>111</v>
      </c>
      <c r="G22" t="s">
        <v>185</v>
      </c>
      <c r="H22" t="s">
        <v>186</v>
      </c>
      <c r="I22" t="s">
        <v>187</v>
      </c>
      <c r="J22" t="s">
        <v>188</v>
      </c>
      <c r="K22">
        <v>4.5</v>
      </c>
      <c r="L22" t="s">
        <v>111</v>
      </c>
      <c r="M22" t="s">
        <v>111</v>
      </c>
      <c r="N22" t="s">
        <v>189</v>
      </c>
      <c r="O22">
        <v>7.4329999999999998</v>
      </c>
      <c r="P22">
        <v>32.799999999999997</v>
      </c>
      <c r="Q22">
        <v>94</v>
      </c>
      <c r="R22" t="s">
        <v>190</v>
      </c>
      <c r="S22" t="s">
        <v>133</v>
      </c>
      <c r="T22" t="s">
        <v>191</v>
      </c>
      <c r="U22" t="s">
        <v>192</v>
      </c>
      <c r="V22" t="s">
        <v>193</v>
      </c>
      <c r="W22" t="s">
        <v>194</v>
      </c>
      <c r="X22" t="s">
        <v>195</v>
      </c>
      <c r="Y22" t="s">
        <v>196</v>
      </c>
      <c r="Z22" t="s">
        <v>197</v>
      </c>
      <c r="AA22" t="s">
        <v>198</v>
      </c>
      <c r="AB22" t="s">
        <v>199</v>
      </c>
      <c r="AC22" t="s">
        <v>200</v>
      </c>
      <c r="AD22" t="s">
        <v>201</v>
      </c>
      <c r="AE22" s="34">
        <v>106.6</v>
      </c>
      <c r="AF22" s="34">
        <v>11.4</v>
      </c>
      <c r="AG22" s="34">
        <v>29.6</v>
      </c>
      <c r="AH22" s="34">
        <v>2.41</v>
      </c>
    </row>
    <row r="23" spans="1:34">
      <c r="A23" s="51" t="s">
        <v>103</v>
      </c>
      <c r="B23" s="61" t="s">
        <v>146</v>
      </c>
      <c r="C23" s="49" t="s">
        <v>95</v>
      </c>
      <c r="D23" t="s">
        <v>202</v>
      </c>
      <c r="E23">
        <v>296</v>
      </c>
      <c r="F23" t="s">
        <v>111</v>
      </c>
      <c r="G23" t="s">
        <v>203</v>
      </c>
      <c r="H23" t="s">
        <v>204</v>
      </c>
      <c r="I23" t="s">
        <v>205</v>
      </c>
      <c r="J23" t="s">
        <v>206</v>
      </c>
      <c r="K23">
        <v>4.5</v>
      </c>
      <c r="L23" t="s">
        <v>111</v>
      </c>
      <c r="M23" t="s">
        <v>111</v>
      </c>
      <c r="N23" t="s">
        <v>207</v>
      </c>
      <c r="O23">
        <v>7.4429999999999996</v>
      </c>
      <c r="P23">
        <v>43.4</v>
      </c>
      <c r="Q23">
        <v>70.900000000000006</v>
      </c>
      <c r="R23" t="s">
        <v>208</v>
      </c>
      <c r="S23" t="s">
        <v>209</v>
      </c>
      <c r="T23" t="s">
        <v>210</v>
      </c>
      <c r="U23" t="s">
        <v>192</v>
      </c>
      <c r="V23" t="s">
        <v>211</v>
      </c>
      <c r="W23" t="s">
        <v>212</v>
      </c>
      <c r="X23" t="s">
        <v>213</v>
      </c>
      <c r="Y23" t="s">
        <v>214</v>
      </c>
      <c r="Z23" t="s">
        <v>215</v>
      </c>
      <c r="AA23" t="s">
        <v>142</v>
      </c>
      <c r="AB23" t="s">
        <v>111</v>
      </c>
      <c r="AC23" t="s">
        <v>111</v>
      </c>
      <c r="AD23" t="s">
        <v>216</v>
      </c>
      <c r="AE23" s="34">
        <v>99.3</v>
      </c>
      <c r="AF23" s="34">
        <v>7.1</v>
      </c>
      <c r="AG23" s="34">
        <v>20.399999999999999</v>
      </c>
      <c r="AH23" s="34">
        <v>2.99</v>
      </c>
    </row>
    <row r="24" spans="1:34">
      <c r="A24" s="51" t="s">
        <v>104</v>
      </c>
      <c r="B24" s="61"/>
      <c r="C24" s="49" t="s">
        <v>95</v>
      </c>
      <c r="AE24" s="34"/>
      <c r="AF24" s="34"/>
      <c r="AG24" s="34"/>
      <c r="AH24" s="34"/>
    </row>
    <row r="25" spans="1:34">
      <c r="A25" s="51"/>
      <c r="B25" s="61"/>
      <c r="C25" s="49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F25" s="34"/>
      <c r="AG25" s="34"/>
      <c r="AH25" s="34"/>
    </row>
    <row r="26" spans="1:34">
      <c r="A26" s="46"/>
      <c r="B26" s="64"/>
      <c r="C26" s="64"/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</row>
    <row r="27" spans="1:34">
      <c r="A27" s="46"/>
      <c r="B27" s="64"/>
      <c r="C27" s="64"/>
      <c r="D27" t="s">
        <v>111</v>
      </c>
      <c r="E27" t="s">
        <v>111</v>
      </c>
      <c r="F27" t="s">
        <v>111</v>
      </c>
      <c r="G27" t="s">
        <v>111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111</v>
      </c>
      <c r="AD27" t="s">
        <v>111</v>
      </c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45" priority="1" operator="equal">
      <formula>"incomplete"</formula>
    </cfRule>
    <cfRule type="cellIs" dxfId="4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B601090-96D8-B747-95C3-56B50560F1E5}">
      <formula1>"incomplete,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DF3A-B523-FA44-AB1A-E2B23BB81335}">
  <dimension ref="A1:AZ27"/>
  <sheetViews>
    <sheetView topLeftCell="Y6" workbookViewId="0">
      <selection activeCell="AH24" sqref="AH24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1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3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91">
        <v>1.85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114">
        <v>46230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45.325000000000003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45.325000000000003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8219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217</v>
      </c>
      <c r="C15" s="49" t="s">
        <v>95</v>
      </c>
      <c r="D15">
        <v>73</v>
      </c>
      <c r="E15">
        <v>283</v>
      </c>
      <c r="F15" t="s">
        <v>111</v>
      </c>
      <c r="G15" t="s">
        <v>218</v>
      </c>
      <c r="H15" t="s">
        <v>219</v>
      </c>
      <c r="I15" t="s">
        <v>220</v>
      </c>
      <c r="J15" t="s">
        <v>221</v>
      </c>
      <c r="K15">
        <v>3.9</v>
      </c>
      <c r="L15" t="s">
        <v>111</v>
      </c>
      <c r="M15" t="s">
        <v>111</v>
      </c>
      <c r="N15" t="s">
        <v>222</v>
      </c>
      <c r="O15">
        <v>7.5</v>
      </c>
      <c r="P15">
        <v>31.3</v>
      </c>
      <c r="Q15">
        <v>81.2</v>
      </c>
      <c r="R15" t="s">
        <v>133</v>
      </c>
      <c r="S15" t="s">
        <v>223</v>
      </c>
      <c r="T15" t="s">
        <v>224</v>
      </c>
      <c r="U15" t="s">
        <v>192</v>
      </c>
      <c r="V15" t="s">
        <v>225</v>
      </c>
      <c r="W15" t="s">
        <v>226</v>
      </c>
      <c r="X15" t="s">
        <v>227</v>
      </c>
      <c r="Y15" t="s">
        <v>228</v>
      </c>
      <c r="Z15" t="s">
        <v>229</v>
      </c>
      <c r="AA15" t="s">
        <v>125</v>
      </c>
      <c r="AB15" t="s">
        <v>222</v>
      </c>
      <c r="AC15" t="s">
        <v>230</v>
      </c>
      <c r="AD15" t="s">
        <v>231</v>
      </c>
      <c r="AE15" s="53">
        <v>11.7</v>
      </c>
      <c r="AF15" s="34">
        <v>45.7</v>
      </c>
      <c r="AG15" s="34"/>
      <c r="AH15" s="34"/>
    </row>
    <row r="16" spans="1:52">
      <c r="A16" s="51" t="s">
        <v>96</v>
      </c>
      <c r="B16" s="61" t="s">
        <v>232</v>
      </c>
      <c r="C16" s="49" t="s">
        <v>95</v>
      </c>
      <c r="D16" t="s">
        <v>202</v>
      </c>
      <c r="E16">
        <v>276</v>
      </c>
      <c r="F16" t="s">
        <v>111</v>
      </c>
      <c r="G16" t="s">
        <v>233</v>
      </c>
      <c r="H16" t="s">
        <v>198</v>
      </c>
      <c r="I16" t="s">
        <v>234</v>
      </c>
      <c r="J16" t="s">
        <v>235</v>
      </c>
      <c r="K16">
        <v>4.9000000000000004</v>
      </c>
      <c r="L16" t="s">
        <v>111</v>
      </c>
      <c r="M16" t="s">
        <v>111</v>
      </c>
      <c r="N16" t="s">
        <v>236</v>
      </c>
      <c r="O16">
        <v>7.4509999999999996</v>
      </c>
      <c r="P16">
        <v>37.799999999999997</v>
      </c>
      <c r="Q16">
        <v>89.9</v>
      </c>
      <c r="R16" t="s">
        <v>237</v>
      </c>
      <c r="S16" t="s">
        <v>238</v>
      </c>
      <c r="T16" t="s">
        <v>239</v>
      </c>
      <c r="U16" t="s">
        <v>240</v>
      </c>
      <c r="V16" t="s">
        <v>241</v>
      </c>
      <c r="W16" t="s">
        <v>242</v>
      </c>
      <c r="X16" t="s">
        <v>243</v>
      </c>
      <c r="Y16" t="s">
        <v>244</v>
      </c>
      <c r="Z16" t="s">
        <v>130</v>
      </c>
      <c r="AA16" t="s">
        <v>245</v>
      </c>
      <c r="AB16" t="s">
        <v>111</v>
      </c>
      <c r="AC16" t="s">
        <v>111</v>
      </c>
      <c r="AD16" t="s">
        <v>246</v>
      </c>
      <c r="AE16" s="53">
        <v>142.1</v>
      </c>
      <c r="AF16" s="34">
        <v>13.9</v>
      </c>
      <c r="AG16" s="34">
        <v>84.5</v>
      </c>
      <c r="AH16" s="34">
        <v>2.31</v>
      </c>
    </row>
    <row r="17" spans="1:34">
      <c r="A17" s="51" t="s">
        <v>97</v>
      </c>
      <c r="B17" s="61" t="s">
        <v>247</v>
      </c>
      <c r="C17" s="49" t="s">
        <v>95</v>
      </c>
      <c r="D17" t="s">
        <v>237</v>
      </c>
      <c r="E17">
        <v>286</v>
      </c>
      <c r="F17" t="s">
        <v>111</v>
      </c>
      <c r="G17" t="s">
        <v>248</v>
      </c>
      <c r="H17" t="s">
        <v>249</v>
      </c>
      <c r="I17" t="s">
        <v>250</v>
      </c>
      <c r="J17" t="s">
        <v>251</v>
      </c>
      <c r="K17">
        <v>3.8</v>
      </c>
      <c r="L17" t="s">
        <v>111</v>
      </c>
      <c r="M17" t="s">
        <v>111</v>
      </c>
      <c r="N17" t="s">
        <v>252</v>
      </c>
      <c r="O17">
        <v>7.3979999999999997</v>
      </c>
      <c r="P17">
        <v>40.700000000000003</v>
      </c>
      <c r="Q17">
        <v>87.5</v>
      </c>
      <c r="R17" t="s">
        <v>168</v>
      </c>
      <c r="S17" t="s">
        <v>118</v>
      </c>
      <c r="T17" t="s">
        <v>191</v>
      </c>
      <c r="U17" t="s">
        <v>192</v>
      </c>
      <c r="V17" t="s">
        <v>253</v>
      </c>
      <c r="W17" t="s">
        <v>254</v>
      </c>
      <c r="X17" t="s">
        <v>255</v>
      </c>
      <c r="Y17" t="s">
        <v>256</v>
      </c>
      <c r="Z17" t="s">
        <v>257</v>
      </c>
      <c r="AA17" t="s">
        <v>258</v>
      </c>
      <c r="AB17" t="s">
        <v>199</v>
      </c>
      <c r="AC17" t="s">
        <v>259</v>
      </c>
      <c r="AD17" t="s">
        <v>219</v>
      </c>
      <c r="AE17" s="53">
        <v>9.6</v>
      </c>
      <c r="AF17" s="34">
        <v>19.600000000000001</v>
      </c>
      <c r="AG17" s="34">
        <v>25.2</v>
      </c>
      <c r="AH17" s="34">
        <v>1.87</v>
      </c>
    </row>
    <row r="18" spans="1:34">
      <c r="A18" s="65" t="s">
        <v>98</v>
      </c>
      <c r="B18" s="61" t="s">
        <v>260</v>
      </c>
      <c r="C18" s="49" t="s">
        <v>95</v>
      </c>
      <c r="D18" t="s">
        <v>261</v>
      </c>
      <c r="E18">
        <v>295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262</v>
      </c>
      <c r="O18">
        <v>7.4589999999999996</v>
      </c>
      <c r="P18">
        <v>39.700000000000003</v>
      </c>
      <c r="Q18">
        <v>88.4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 t="s">
        <v>263</v>
      </c>
      <c r="C19" s="49" t="s">
        <v>95</v>
      </c>
      <c r="D19" t="s">
        <v>264</v>
      </c>
      <c r="E19">
        <v>291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265</v>
      </c>
      <c r="O19">
        <v>7.3609999999999998</v>
      </c>
      <c r="P19">
        <v>32.5</v>
      </c>
      <c r="Q19">
        <v>102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266</v>
      </c>
      <c r="C20" s="49" t="s">
        <v>95</v>
      </c>
      <c r="D20" t="s">
        <v>201</v>
      </c>
      <c r="E20">
        <v>290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267</v>
      </c>
      <c r="O20">
        <v>7.375</v>
      </c>
      <c r="P20">
        <v>28.9</v>
      </c>
      <c r="Q20">
        <v>96.8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268</v>
      </c>
      <c r="C21" s="49" t="s">
        <v>95</v>
      </c>
      <c r="D21" t="s">
        <v>202</v>
      </c>
      <c r="E21">
        <v>299</v>
      </c>
      <c r="F21" t="s">
        <v>111</v>
      </c>
      <c r="G21" t="s">
        <v>269</v>
      </c>
      <c r="H21" t="s">
        <v>169</v>
      </c>
      <c r="I21" t="s">
        <v>270</v>
      </c>
      <c r="J21" t="s">
        <v>271</v>
      </c>
      <c r="K21">
        <v>2.9</v>
      </c>
      <c r="L21" t="s">
        <v>111</v>
      </c>
      <c r="M21" t="s">
        <v>111</v>
      </c>
      <c r="N21" t="s">
        <v>265</v>
      </c>
      <c r="O21">
        <v>7.2590000000000003</v>
      </c>
      <c r="P21">
        <v>41.5</v>
      </c>
      <c r="Q21">
        <v>31.6</v>
      </c>
      <c r="R21" t="s">
        <v>261</v>
      </c>
      <c r="S21" t="s">
        <v>272</v>
      </c>
      <c r="T21" t="s">
        <v>273</v>
      </c>
      <c r="U21" t="s">
        <v>192</v>
      </c>
      <c r="V21" t="s">
        <v>274</v>
      </c>
      <c r="W21" t="s">
        <v>275</v>
      </c>
      <c r="X21" t="s">
        <v>276</v>
      </c>
      <c r="Y21" t="s">
        <v>277</v>
      </c>
      <c r="Z21" t="s">
        <v>257</v>
      </c>
      <c r="AA21" t="s">
        <v>111</v>
      </c>
      <c r="AB21" t="s">
        <v>111</v>
      </c>
      <c r="AC21" t="s">
        <v>111</v>
      </c>
      <c r="AD21" t="s">
        <v>111</v>
      </c>
      <c r="AE21" s="34">
        <v>82.4</v>
      </c>
      <c r="AF21" s="34">
        <v>24.9</v>
      </c>
      <c r="AG21" s="34"/>
      <c r="AH21" s="34">
        <v>2.54</v>
      </c>
    </row>
    <row r="22" spans="1:34">
      <c r="A22" s="51" t="s">
        <v>102</v>
      </c>
      <c r="B22" s="61" t="s">
        <v>278</v>
      </c>
      <c r="C22" s="49" t="s">
        <v>95</v>
      </c>
      <c r="D22" t="s">
        <v>279</v>
      </c>
      <c r="E22">
        <v>290</v>
      </c>
      <c r="F22" t="s">
        <v>111</v>
      </c>
      <c r="G22" t="s">
        <v>129</v>
      </c>
      <c r="H22" t="s">
        <v>280</v>
      </c>
      <c r="I22" t="s">
        <v>281</v>
      </c>
      <c r="J22" t="s">
        <v>282</v>
      </c>
      <c r="K22">
        <v>3.6</v>
      </c>
      <c r="L22" t="s">
        <v>111</v>
      </c>
      <c r="M22" t="s">
        <v>111</v>
      </c>
      <c r="N22" t="s">
        <v>283</v>
      </c>
      <c r="O22">
        <v>7.2939999999999996</v>
      </c>
      <c r="P22">
        <v>41.9</v>
      </c>
      <c r="Q22">
        <v>24</v>
      </c>
      <c r="R22" t="s">
        <v>284</v>
      </c>
      <c r="S22" t="s">
        <v>190</v>
      </c>
      <c r="T22" t="s">
        <v>285</v>
      </c>
      <c r="U22" t="s">
        <v>120</v>
      </c>
      <c r="V22" t="s">
        <v>286</v>
      </c>
      <c r="W22" t="s">
        <v>287</v>
      </c>
      <c r="X22" t="s">
        <v>288</v>
      </c>
      <c r="Y22" t="s">
        <v>289</v>
      </c>
      <c r="Z22" t="s">
        <v>130</v>
      </c>
      <c r="AA22" t="s">
        <v>290</v>
      </c>
      <c r="AB22" t="s">
        <v>222</v>
      </c>
      <c r="AC22" t="s">
        <v>291</v>
      </c>
      <c r="AD22" t="s">
        <v>292</v>
      </c>
      <c r="AE22" s="34">
        <v>124.8</v>
      </c>
      <c r="AF22" s="34">
        <v>23.5</v>
      </c>
      <c r="AG22" s="34"/>
      <c r="AH22" s="34">
        <v>2.73</v>
      </c>
    </row>
    <row r="23" spans="1:34">
      <c r="A23" s="51" t="s">
        <v>103</v>
      </c>
      <c r="B23" s="61" t="s">
        <v>232</v>
      </c>
      <c r="C23" s="49" t="s">
        <v>95</v>
      </c>
      <c r="D23" t="s">
        <v>279</v>
      </c>
      <c r="E23">
        <v>84</v>
      </c>
      <c r="F23" t="s">
        <v>111</v>
      </c>
      <c r="G23" t="s">
        <v>293</v>
      </c>
      <c r="H23" t="s">
        <v>294</v>
      </c>
      <c r="I23" t="s">
        <v>295</v>
      </c>
      <c r="J23" t="s">
        <v>296</v>
      </c>
      <c r="K23">
        <v>4.0999999999999996</v>
      </c>
      <c r="L23" t="s">
        <v>111</v>
      </c>
      <c r="M23" t="s">
        <v>111</v>
      </c>
      <c r="N23" t="s">
        <v>297</v>
      </c>
      <c r="O23">
        <v>7.3259999999999996</v>
      </c>
      <c r="P23">
        <v>21.7</v>
      </c>
      <c r="Q23">
        <v>119</v>
      </c>
      <c r="R23" t="s">
        <v>298</v>
      </c>
      <c r="S23" t="s">
        <v>299</v>
      </c>
      <c r="T23" t="s">
        <v>300</v>
      </c>
      <c r="U23" t="s">
        <v>301</v>
      </c>
      <c r="V23" t="s">
        <v>302</v>
      </c>
      <c r="W23" t="s">
        <v>303</v>
      </c>
      <c r="X23" t="s">
        <v>213</v>
      </c>
      <c r="Y23" t="s">
        <v>304</v>
      </c>
      <c r="Z23" t="s">
        <v>257</v>
      </c>
      <c r="AA23" t="s">
        <v>305</v>
      </c>
      <c r="AB23" t="s">
        <v>111</v>
      </c>
      <c r="AC23" t="s">
        <v>111</v>
      </c>
      <c r="AD23" t="s">
        <v>292</v>
      </c>
      <c r="AE23" s="34">
        <v>102.9</v>
      </c>
      <c r="AF23" s="34">
        <v>10.7</v>
      </c>
      <c r="AG23" s="34">
        <v>18.899999999999999</v>
      </c>
      <c r="AH23" s="34">
        <v>3.27</v>
      </c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F25" s="34"/>
      <c r="AG25" s="34"/>
      <c r="AH25" s="34"/>
    </row>
    <row r="26" spans="1:34">
      <c r="A26" s="46"/>
      <c r="B26" s="64"/>
      <c r="C26" s="64"/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</row>
    <row r="27" spans="1:34">
      <c r="A27" s="46"/>
      <c r="B27" s="64"/>
      <c r="C27" s="6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43" priority="1" operator="equal">
      <formula>"incomplete"</formula>
    </cfRule>
    <cfRule type="cellIs" dxfId="4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230BA755-5A20-4C42-95EA-AFDDB2CFAE03}">
      <formula1>"incomplete, COMPLETED"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76D8-D78D-6D4E-B865-80ED6BFC4B18}">
  <dimension ref="A1:AZ27"/>
  <sheetViews>
    <sheetView workbookViewId="0">
      <selection activeCell="B10" sqref="B10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1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3</v>
      </c>
      <c r="C4" s="81"/>
      <c r="D4" s="42"/>
      <c r="E4" s="41" t="s">
        <v>4</v>
      </c>
      <c r="F4" s="92" t="s">
        <v>306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91">
        <v>1.85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114">
        <v>46230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45.325000000000003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45.325000000000003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8219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307</v>
      </c>
      <c r="C15" s="49" t="s">
        <v>95</v>
      </c>
      <c r="D15" s="49"/>
      <c r="E15" s="49"/>
      <c r="F15" s="49"/>
      <c r="G15" s="62"/>
      <c r="H15" s="62"/>
      <c r="I15" s="53"/>
      <c r="J15" s="53"/>
      <c r="K15" s="53"/>
      <c r="L15" s="53"/>
      <c r="M15" s="63" t="e">
        <f t="shared" ref="M15:M25" si="0">(L15/(((H15*10)/64500)*10^6))*100</f>
        <v>#DIV/0!</v>
      </c>
      <c r="N15" s="32"/>
      <c r="O15" s="32"/>
      <c r="P15" s="32"/>
      <c r="Q15" s="32"/>
      <c r="R15" s="53"/>
      <c r="S15" s="3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96</v>
      </c>
      <c r="B16" s="61" t="s">
        <v>308</v>
      </c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 t="shared" si="0"/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51" t="s">
        <v>97</v>
      </c>
      <c r="B17" s="61" t="s">
        <v>309</v>
      </c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 t="shared" si="0"/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65" t="s">
        <v>98</v>
      </c>
      <c r="B18" s="61" t="s">
        <v>310</v>
      </c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 t="s">
        <v>311</v>
      </c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 t="s">
        <v>312</v>
      </c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 t="s">
        <v>313</v>
      </c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 t="shared" si="0"/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34"/>
      <c r="AB21" s="34"/>
      <c r="AC21" s="34"/>
      <c r="AD21" s="34"/>
      <c r="AE21" s="34"/>
      <c r="AF21" s="34"/>
      <c r="AG21" s="34"/>
      <c r="AH21" s="34"/>
    </row>
    <row r="22" spans="1:34">
      <c r="A22" s="51" t="s">
        <v>102</v>
      </c>
      <c r="B22" s="61" t="s">
        <v>314</v>
      </c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 t="shared" si="0"/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103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/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7B74917-1698-6848-A485-E6FBB6C4C1FA}">
      <formula1>"incomplete, COMPLETED"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14A9-9788-AC48-AC6D-C28D824AD560}">
  <dimension ref="A1:AZ37"/>
  <sheetViews>
    <sheetView topLeftCell="AE1" workbookViewId="0">
      <selection activeCell="R14" sqref="R14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25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25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315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25" customHeight="1">
      <c r="A5" s="41" t="s">
        <v>106</v>
      </c>
      <c r="B5" s="91">
        <v>1.73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25" customHeight="1">
      <c r="A6" s="41" t="s">
        <v>8</v>
      </c>
      <c r="B6" s="114">
        <v>45148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54.4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54.4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8535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.7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/>
      <c r="C15" s="49" t="s">
        <v>95</v>
      </c>
      <c r="D15" s="49">
        <v>75</v>
      </c>
      <c r="E15" s="49">
        <v>154</v>
      </c>
      <c r="F15" s="49"/>
      <c r="G15" s="62">
        <v>5.66</v>
      </c>
      <c r="H15" s="62">
        <v>11.7</v>
      </c>
      <c r="I15" s="53">
        <v>36</v>
      </c>
      <c r="J15" s="53">
        <v>269</v>
      </c>
      <c r="K15" s="53">
        <v>4</v>
      </c>
      <c r="L15" s="53"/>
      <c r="M15" s="63">
        <f t="shared" ref="M15:M26" si="0">(L15/(((H15*10)/64500)*10^6))*100</f>
        <v>0</v>
      </c>
      <c r="N15" s="32">
        <v>2</v>
      </c>
      <c r="O15" s="32">
        <v>7.4880000000000004</v>
      </c>
      <c r="P15" s="32">
        <v>41.1</v>
      </c>
      <c r="Q15" s="32">
        <v>60.5</v>
      </c>
      <c r="R15">
        <v>26</v>
      </c>
      <c r="S15">
        <v>45</v>
      </c>
      <c r="T15">
        <v>92</v>
      </c>
      <c r="U15">
        <v>0.6</v>
      </c>
      <c r="V15">
        <v>13.61</v>
      </c>
      <c r="W15">
        <v>270</v>
      </c>
      <c r="X15">
        <v>158.93</v>
      </c>
      <c r="Y15">
        <v>134.6</v>
      </c>
      <c r="Z15">
        <v>12</v>
      </c>
      <c r="AA15" s="53">
        <v>9.1999999999999993</v>
      </c>
      <c r="AB15" s="53">
        <v>0</v>
      </c>
      <c r="AD15" s="53"/>
      <c r="AE15" s="53">
        <v>138.9</v>
      </c>
      <c r="AF15" s="34">
        <v>22.5</v>
      </c>
      <c r="AG15" s="34">
        <v>0</v>
      </c>
      <c r="AH15" s="34">
        <v>1.68</v>
      </c>
    </row>
    <row r="16" spans="1:52">
      <c r="A16" s="51" t="s">
        <v>96</v>
      </c>
      <c r="B16" s="61" t="s">
        <v>316</v>
      </c>
      <c r="C16" s="49" t="s">
        <v>95</v>
      </c>
      <c r="D16" s="49">
        <v>50</v>
      </c>
      <c r="E16" s="49">
        <v>238</v>
      </c>
      <c r="F16" s="49"/>
      <c r="G16" s="53">
        <v>3.54</v>
      </c>
      <c r="H16" s="53">
        <v>7.4</v>
      </c>
      <c r="I16" s="53">
        <v>22.2</v>
      </c>
      <c r="J16" s="53">
        <v>157</v>
      </c>
      <c r="K16" s="53">
        <v>5.3</v>
      </c>
      <c r="L16" s="53"/>
      <c r="M16" s="63">
        <f t="shared" si="0"/>
        <v>0</v>
      </c>
      <c r="N16" s="32">
        <v>8</v>
      </c>
      <c r="O16" s="32">
        <v>7.37</v>
      </c>
      <c r="P16" s="32">
        <v>40.5</v>
      </c>
      <c r="Q16" s="32">
        <v>83.1</v>
      </c>
      <c r="R16">
        <v>54</v>
      </c>
      <c r="S16">
        <v>42</v>
      </c>
      <c r="T16">
        <v>237</v>
      </c>
      <c r="U16">
        <v>0.6</v>
      </c>
      <c r="V16">
        <v>19.79</v>
      </c>
      <c r="W16">
        <v>222</v>
      </c>
      <c r="X16">
        <v>225.92</v>
      </c>
      <c r="Y16">
        <v>295.42</v>
      </c>
      <c r="Z16">
        <v>10</v>
      </c>
      <c r="AA16" s="53">
        <v>6.3</v>
      </c>
      <c r="AB16" s="53">
        <v>2.2999999999999998</v>
      </c>
      <c r="AD16" s="53"/>
      <c r="AE16" s="53">
        <v>94.3</v>
      </c>
      <c r="AF16" s="34">
        <v>13.4</v>
      </c>
      <c r="AG16" s="34">
        <v>16.600000000000001</v>
      </c>
      <c r="AH16" s="34">
        <v>1.88</v>
      </c>
    </row>
    <row r="17" spans="1:34">
      <c r="A17" s="51" t="s">
        <v>97</v>
      </c>
      <c r="B17" s="61" t="s">
        <v>317</v>
      </c>
      <c r="C17" s="49" t="s">
        <v>95</v>
      </c>
      <c r="D17" s="49">
        <v>48</v>
      </c>
      <c r="E17" s="49">
        <v>232</v>
      </c>
      <c r="F17" s="49"/>
      <c r="G17" s="53">
        <v>2.59</v>
      </c>
      <c r="H17" s="53">
        <v>5.6</v>
      </c>
      <c r="I17" s="53">
        <v>16.2</v>
      </c>
      <c r="J17" s="53">
        <v>126</v>
      </c>
      <c r="K17" s="53">
        <v>4.8</v>
      </c>
      <c r="L17" s="53"/>
      <c r="M17" s="63">
        <f t="shared" si="0"/>
        <v>0</v>
      </c>
      <c r="N17" s="32">
        <v>9.4</v>
      </c>
      <c r="O17" s="32">
        <v>7.3970000000000002</v>
      </c>
      <c r="P17" s="32">
        <v>41.8</v>
      </c>
      <c r="Q17" s="32">
        <v>87.5</v>
      </c>
      <c r="R17">
        <v>38</v>
      </c>
      <c r="S17">
        <v>31</v>
      </c>
      <c r="T17">
        <v>116</v>
      </c>
      <c r="U17">
        <v>0.8</v>
      </c>
      <c r="V17">
        <v>16.82</v>
      </c>
      <c r="W17">
        <v>158</v>
      </c>
      <c r="X17">
        <v>20.399999999999999</v>
      </c>
      <c r="Y17">
        <v>258.93</v>
      </c>
      <c r="Z17">
        <v>7</v>
      </c>
      <c r="AA17" s="53">
        <v>7</v>
      </c>
      <c r="AB17" s="53" t="s">
        <v>318</v>
      </c>
      <c r="AD17" s="53"/>
      <c r="AE17" s="53">
        <v>106.3</v>
      </c>
      <c r="AF17" s="34">
        <v>18</v>
      </c>
      <c r="AG17" s="34">
        <v>25.8</v>
      </c>
      <c r="AH17" s="34">
        <v>1.8</v>
      </c>
    </row>
    <row r="18" spans="1:34">
      <c r="A18" s="65" t="s">
        <v>98</v>
      </c>
      <c r="B18" s="61" t="s">
        <v>319</v>
      </c>
      <c r="C18" s="49" t="s">
        <v>95</v>
      </c>
      <c r="D18" s="49">
        <v>36</v>
      </c>
      <c r="E18" s="49">
        <v>176</v>
      </c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>
        <v>5.0999999999999996</v>
      </c>
      <c r="O18" s="32">
        <v>7.5010000000000003</v>
      </c>
      <c r="P18" s="32">
        <v>34.4</v>
      </c>
      <c r="Q18" s="32">
        <v>102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D18" s="53"/>
      <c r="AE18" s="53"/>
      <c r="AF18" s="34"/>
      <c r="AG18" s="34"/>
      <c r="AH18" s="34"/>
    </row>
    <row r="19" spans="1:34">
      <c r="A19" s="51" t="s">
        <v>99</v>
      </c>
      <c r="B19" s="61" t="s">
        <v>320</v>
      </c>
      <c r="C19" s="49" t="s">
        <v>95</v>
      </c>
      <c r="D19" s="49">
        <v>63</v>
      </c>
      <c r="E19" s="49">
        <v>272</v>
      </c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>
        <v>5.9</v>
      </c>
      <c r="O19" s="32">
        <v>7.5049999999999999</v>
      </c>
      <c r="P19" s="32">
        <v>33.799999999999997</v>
      </c>
      <c r="Q19" s="32">
        <v>92.1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D19" s="53"/>
      <c r="AE19" s="53"/>
      <c r="AF19" s="34"/>
      <c r="AG19" s="34"/>
      <c r="AH19" s="34"/>
    </row>
    <row r="20" spans="1:34">
      <c r="A20" s="51" t="s">
        <v>100</v>
      </c>
      <c r="B20" s="61" t="s">
        <v>321</v>
      </c>
      <c r="C20" s="49" t="s">
        <v>95</v>
      </c>
      <c r="D20" s="49">
        <v>48</v>
      </c>
      <c r="E20" s="49">
        <v>284</v>
      </c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>
        <v>3.8</v>
      </c>
      <c r="O20" s="32">
        <v>7.4480000000000004</v>
      </c>
      <c r="P20" s="32">
        <v>35.6</v>
      </c>
      <c r="Q20" s="32">
        <v>93.8</v>
      </c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D20" s="53"/>
      <c r="AE20" s="53"/>
      <c r="AF20" s="34"/>
      <c r="AG20" s="34"/>
      <c r="AH20" s="34"/>
    </row>
    <row r="21" spans="1:34">
      <c r="A21" s="51" t="s">
        <v>101</v>
      </c>
      <c r="B21" s="61" t="s">
        <v>312</v>
      </c>
      <c r="C21" s="49" t="s">
        <v>95</v>
      </c>
      <c r="D21" s="49">
        <v>46</v>
      </c>
      <c r="E21" s="49">
        <v>271</v>
      </c>
      <c r="F21" s="49"/>
      <c r="G21" s="53">
        <v>3.14</v>
      </c>
      <c r="H21" s="53">
        <v>6.5</v>
      </c>
      <c r="I21" s="53">
        <v>19.600000000000001</v>
      </c>
      <c r="J21" s="53">
        <v>94</v>
      </c>
      <c r="K21" s="53">
        <v>5.3</v>
      </c>
      <c r="L21" s="53"/>
      <c r="M21" s="63">
        <f t="shared" si="0"/>
        <v>0</v>
      </c>
      <c r="N21" s="32">
        <v>4.2</v>
      </c>
      <c r="O21" s="32">
        <v>7.4619999999999997</v>
      </c>
      <c r="P21" s="32">
        <v>35.299999999999997</v>
      </c>
      <c r="Q21" s="32">
        <v>75.099999999999994</v>
      </c>
      <c r="R21">
        <v>91</v>
      </c>
      <c r="S21">
        <v>37</v>
      </c>
      <c r="T21">
        <v>225</v>
      </c>
      <c r="U21">
        <v>0.8</v>
      </c>
      <c r="V21">
        <v>18.77</v>
      </c>
      <c r="W21">
        <v>190</v>
      </c>
      <c r="X21">
        <v>248.52</v>
      </c>
      <c r="Y21">
        <v>160.57</v>
      </c>
      <c r="Z21">
        <v>6</v>
      </c>
      <c r="AA21" s="53"/>
      <c r="AB21" s="53"/>
      <c r="AD21" s="53"/>
      <c r="AE21" s="53">
        <v>112.9</v>
      </c>
      <c r="AF21" s="34">
        <v>20.5</v>
      </c>
      <c r="AG21" s="34">
        <v>17.3</v>
      </c>
      <c r="AH21" s="34">
        <v>1.6</v>
      </c>
    </row>
    <row r="22" spans="1:34">
      <c r="A22" s="51" t="s">
        <v>102</v>
      </c>
      <c r="B22" s="61" t="s">
        <v>322</v>
      </c>
      <c r="C22" s="49" t="s">
        <v>95</v>
      </c>
      <c r="D22" s="49">
        <v>56</v>
      </c>
      <c r="E22" s="49">
        <v>272</v>
      </c>
      <c r="F22" s="49"/>
      <c r="G22" s="53">
        <v>2.98</v>
      </c>
      <c r="H22" s="53">
        <v>6.3</v>
      </c>
      <c r="I22" s="53">
        <v>18.600000000000001</v>
      </c>
      <c r="J22" s="53">
        <v>94</v>
      </c>
      <c r="K22" s="53">
        <v>4.2</v>
      </c>
      <c r="L22" s="53"/>
      <c r="M22" s="63">
        <f t="shared" si="0"/>
        <v>0</v>
      </c>
      <c r="N22" s="32">
        <v>3</v>
      </c>
      <c r="O22" s="32">
        <v>7.476</v>
      </c>
      <c r="P22" s="32">
        <v>34.799999999999997</v>
      </c>
      <c r="Q22" s="32">
        <v>83.7</v>
      </c>
      <c r="R22">
        <v>130</v>
      </c>
      <c r="S22">
        <v>44</v>
      </c>
      <c r="T22">
        <v>201</v>
      </c>
      <c r="U22">
        <v>0.6</v>
      </c>
      <c r="V22">
        <v>18.57</v>
      </c>
      <c r="W22">
        <v>214</v>
      </c>
      <c r="X22">
        <v>283.27999999999997</v>
      </c>
      <c r="Y22">
        <v>158.79</v>
      </c>
      <c r="Z22">
        <v>6</v>
      </c>
      <c r="AA22" s="34">
        <v>6.7</v>
      </c>
      <c r="AB22" s="34" t="s">
        <v>318</v>
      </c>
      <c r="AD22" s="34"/>
      <c r="AE22" s="34">
        <v>120.4</v>
      </c>
      <c r="AF22" s="34">
        <v>14.9</v>
      </c>
      <c r="AG22" s="34" t="s">
        <v>323</v>
      </c>
      <c r="AH22" s="34">
        <v>2.25</v>
      </c>
    </row>
    <row r="23" spans="1:34">
      <c r="A23" s="51" t="s">
        <v>103</v>
      </c>
      <c r="B23" s="61" t="s">
        <v>317</v>
      </c>
      <c r="C23" s="49" t="s">
        <v>95</v>
      </c>
      <c r="D23" s="49">
        <v>46</v>
      </c>
      <c r="E23" s="49">
        <v>270</v>
      </c>
      <c r="F23" s="49"/>
      <c r="G23" s="53">
        <v>2.89</v>
      </c>
      <c r="H23" s="53">
        <v>6.1</v>
      </c>
      <c r="I23" s="53">
        <v>18</v>
      </c>
      <c r="J23" s="53">
        <v>166</v>
      </c>
      <c r="K23" s="53">
        <v>5.9</v>
      </c>
      <c r="L23" s="53"/>
      <c r="M23" s="63">
        <f t="shared" si="0"/>
        <v>0</v>
      </c>
      <c r="N23" s="32">
        <v>1.4</v>
      </c>
      <c r="O23" s="32">
        <v>7.51</v>
      </c>
      <c r="P23" s="32">
        <v>32.1</v>
      </c>
      <c r="Q23" s="32">
        <v>88.8</v>
      </c>
      <c r="R23">
        <v>422</v>
      </c>
      <c r="S23">
        <v>253</v>
      </c>
      <c r="T23">
        <v>664</v>
      </c>
      <c r="U23">
        <v>0.6</v>
      </c>
      <c r="V23">
        <v>15.15</v>
      </c>
      <c r="W23">
        <v>436</v>
      </c>
      <c r="X23">
        <v>645.99</v>
      </c>
      <c r="Y23">
        <v>138.93</v>
      </c>
      <c r="Z23">
        <v>9</v>
      </c>
      <c r="AA23" s="34">
        <v>5.3</v>
      </c>
      <c r="AB23" s="34">
        <v>2.2000000000000002</v>
      </c>
      <c r="AD23" s="34"/>
      <c r="AE23" s="34">
        <v>79.099999999999994</v>
      </c>
      <c r="AF23" s="34">
        <v>13.9</v>
      </c>
      <c r="AG23" s="34">
        <v>22.6</v>
      </c>
      <c r="AH23" s="34">
        <v>4.5999999999999996</v>
      </c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s="49"/>
      <c r="E26" s="49"/>
      <c r="F26" s="49"/>
      <c r="G26" s="53"/>
      <c r="H26" s="53"/>
      <c r="I26" s="53"/>
      <c r="J26" s="53"/>
      <c r="K26" s="53"/>
      <c r="L26" s="53"/>
      <c r="M26" s="63" t="e">
        <f t="shared" si="0"/>
        <v>#DIV/0!</v>
      </c>
      <c r="N26" s="32"/>
      <c r="O26" s="32"/>
      <c r="P26" s="32"/>
      <c r="Q26" s="32"/>
      <c r="R26" s="53"/>
      <c r="S26" s="53"/>
      <c r="T26" s="53"/>
      <c r="U26" s="53"/>
      <c r="V26" s="53"/>
      <c r="W26" s="53"/>
      <c r="X26" s="53"/>
      <c r="Y26" s="53"/>
      <c r="Z26" s="53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spans="1:34">
      <c r="AA29" s="53"/>
    </row>
    <row r="30" spans="1:34">
      <c r="AA30" s="53"/>
    </row>
    <row r="31" spans="1:34">
      <c r="AA31" s="53"/>
    </row>
    <row r="32" spans="1:34">
      <c r="AA32" s="53"/>
    </row>
    <row r="33" spans="27:27">
      <c r="AA33" s="53"/>
    </row>
    <row r="34" spans="27:27">
      <c r="AA34" s="53"/>
    </row>
    <row r="35" spans="27:27">
      <c r="AA35" s="53"/>
    </row>
    <row r="36" spans="27:27">
      <c r="AA36" s="34"/>
    </row>
    <row r="37" spans="27:27">
      <c r="AA37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BC2A1FC6-3D9D-D247-8913-3D3D65374F4D}">
      <formula1>"incomplete,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EB9A-A766-C344-9B2A-A6321A2818D1}">
  <dimension ref="A1:AZ28"/>
  <sheetViews>
    <sheetView topLeftCell="A5" workbookViewId="0">
      <selection activeCell="B10" sqref="B10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25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25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324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25" customHeight="1">
      <c r="A5" s="41" t="s">
        <v>106</v>
      </c>
      <c r="B5" s="91">
        <v>1.69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25" customHeight="1">
      <c r="A6" s="41" t="s">
        <v>8</v>
      </c>
      <c r="B6" s="114">
        <v>46245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52.8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52.8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8532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.7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325</v>
      </c>
      <c r="C15" s="49" t="s">
        <v>95</v>
      </c>
      <c r="D15" s="49">
        <v>57</v>
      </c>
      <c r="E15" s="49">
        <v>254</v>
      </c>
      <c r="F15" s="49"/>
      <c r="G15" s="62">
        <v>5.54</v>
      </c>
      <c r="H15" s="62">
        <v>11.9</v>
      </c>
      <c r="I15" s="53">
        <v>35.9</v>
      </c>
      <c r="J15" s="53">
        <v>299</v>
      </c>
      <c r="K15" s="53">
        <v>5.4</v>
      </c>
      <c r="L15" s="53"/>
      <c r="M15" s="63">
        <f t="shared" ref="M15:M26" si="0">(L15/(((H15*10)/64500)*10^6))*100</f>
        <v>0</v>
      </c>
      <c r="N15" s="32">
        <v>1.2</v>
      </c>
      <c r="O15" s="32">
        <v>7.484</v>
      </c>
      <c r="P15" s="32">
        <v>36.6</v>
      </c>
      <c r="Q15" s="32">
        <v>83.6</v>
      </c>
      <c r="R15">
        <v>17</v>
      </c>
      <c r="S15">
        <v>63</v>
      </c>
      <c r="T15">
        <v>72</v>
      </c>
      <c r="U15">
        <v>0.5</v>
      </c>
      <c r="V15">
        <v>13.95</v>
      </c>
      <c r="W15">
        <v>223</v>
      </c>
      <c r="X15">
        <v>114.21</v>
      </c>
      <c r="Y15">
        <v>164.48</v>
      </c>
      <c r="Z15">
        <v>13</v>
      </c>
      <c r="AA15" s="53"/>
      <c r="AB15" s="53"/>
      <c r="AC15" s="53"/>
      <c r="AD15" s="53"/>
      <c r="AE15" s="53">
        <v>142</v>
      </c>
      <c r="AF15" s="34">
        <v>32.200000000000003</v>
      </c>
      <c r="AG15" s="34">
        <v>42.8</v>
      </c>
      <c r="AH15" s="34">
        <v>1.44</v>
      </c>
    </row>
    <row r="16" spans="1:52">
      <c r="A16" s="51" t="s">
        <v>96</v>
      </c>
      <c r="B16" s="61" t="s">
        <v>326</v>
      </c>
      <c r="C16" s="49" t="s">
        <v>95</v>
      </c>
      <c r="D16" s="49">
        <v>42</v>
      </c>
      <c r="E16" s="49">
        <v>256</v>
      </c>
      <c r="F16" s="49"/>
      <c r="G16" s="53">
        <v>3.64</v>
      </c>
      <c r="H16" s="53">
        <v>7.8</v>
      </c>
      <c r="I16" s="53">
        <v>23.3</v>
      </c>
      <c r="J16" s="53">
        <v>209</v>
      </c>
      <c r="K16" s="53">
        <v>7.9</v>
      </c>
      <c r="L16" s="53"/>
      <c r="M16" s="63">
        <f t="shared" si="0"/>
        <v>0</v>
      </c>
      <c r="N16" s="32">
        <v>9</v>
      </c>
      <c r="O16" s="32">
        <v>7.4009999999999998</v>
      </c>
      <c r="P16" s="32">
        <v>38</v>
      </c>
      <c r="Q16" s="32">
        <v>81.7</v>
      </c>
      <c r="R16">
        <v>145</v>
      </c>
      <c r="S16">
        <v>103</v>
      </c>
      <c r="T16">
        <v>313</v>
      </c>
      <c r="U16">
        <v>0.4</v>
      </c>
      <c r="V16">
        <v>21.13</v>
      </c>
      <c r="W16">
        <v>197</v>
      </c>
      <c r="X16">
        <v>162.55000000000001</v>
      </c>
      <c r="Y16">
        <v>341.51</v>
      </c>
      <c r="Z16">
        <v>8</v>
      </c>
      <c r="AA16" s="53"/>
      <c r="AB16" s="53"/>
      <c r="AC16" s="53"/>
      <c r="AD16" s="53"/>
      <c r="AE16" s="53">
        <v>137</v>
      </c>
      <c r="AF16" s="34">
        <v>18.100000000000001</v>
      </c>
      <c r="AG16" s="34">
        <v>18</v>
      </c>
      <c r="AH16" s="34">
        <v>2.48</v>
      </c>
    </row>
    <row r="17" spans="1:34">
      <c r="A17" s="51" t="s">
        <v>97</v>
      </c>
      <c r="B17" s="61" t="s">
        <v>327</v>
      </c>
      <c r="C17" s="49" t="s">
        <v>95</v>
      </c>
      <c r="D17" s="49">
        <v>42</v>
      </c>
      <c r="E17" s="49">
        <v>247</v>
      </c>
      <c r="F17" s="49"/>
      <c r="G17" s="53">
        <v>2.4500000000000002</v>
      </c>
      <c r="H17" s="53">
        <v>5.3</v>
      </c>
      <c r="I17" s="53">
        <v>15.6</v>
      </c>
      <c r="J17" s="53">
        <v>158</v>
      </c>
      <c r="K17" s="53">
        <v>7.1</v>
      </c>
      <c r="L17" s="53"/>
      <c r="M17" s="63">
        <f t="shared" si="0"/>
        <v>0</v>
      </c>
      <c r="N17" s="32">
        <v>11.3</v>
      </c>
      <c r="O17" s="32">
        <v>7.3330000000000002</v>
      </c>
      <c r="P17" s="32">
        <v>41</v>
      </c>
      <c r="Q17" s="32">
        <v>93.2</v>
      </c>
      <c r="R17">
        <v>85</v>
      </c>
      <c r="S17">
        <v>68</v>
      </c>
      <c r="T17">
        <v>222</v>
      </c>
      <c r="U17">
        <v>0.6</v>
      </c>
      <c r="V17">
        <v>19.12</v>
      </c>
      <c r="W17">
        <v>127</v>
      </c>
      <c r="X17">
        <v>125.4</v>
      </c>
      <c r="Y17">
        <v>305.10000000000002</v>
      </c>
      <c r="Z17">
        <v>6</v>
      </c>
      <c r="AA17" s="53"/>
      <c r="AB17" s="53"/>
      <c r="AC17" s="53"/>
      <c r="AD17" s="53"/>
      <c r="AE17" s="53">
        <v>131</v>
      </c>
      <c r="AF17" s="34">
        <v>20.100000000000001</v>
      </c>
      <c r="AG17" s="34">
        <v>29.9</v>
      </c>
      <c r="AH17" s="34">
        <v>2.11</v>
      </c>
    </row>
    <row r="18" spans="1:34">
      <c r="A18" s="65" t="s">
        <v>98</v>
      </c>
      <c r="B18" s="61" t="s">
        <v>328</v>
      </c>
      <c r="C18" s="49" t="s">
        <v>95</v>
      </c>
      <c r="D18" s="49">
        <v>38</v>
      </c>
      <c r="E18" s="49">
        <v>253</v>
      </c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>
        <v>8.8000000000000007</v>
      </c>
      <c r="O18" s="32">
        <v>7.391</v>
      </c>
      <c r="P18" s="32">
        <v>38.9</v>
      </c>
      <c r="Q18" s="32">
        <v>85.2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 t="s">
        <v>329</v>
      </c>
      <c r="C19" s="49" t="s">
        <v>95</v>
      </c>
      <c r="D19" s="49">
        <v>43</v>
      </c>
      <c r="E19" s="49">
        <v>269</v>
      </c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>
        <v>8.5</v>
      </c>
      <c r="O19" s="32">
        <v>7.6630000000000003</v>
      </c>
      <c r="P19" s="32">
        <v>17.100000000000001</v>
      </c>
      <c r="Q19" s="32">
        <v>111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 t="s">
        <v>330</v>
      </c>
      <c r="C20" s="49" t="s">
        <v>95</v>
      </c>
      <c r="D20" s="49">
        <v>37</v>
      </c>
      <c r="E20" s="49">
        <v>248</v>
      </c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>
        <v>8</v>
      </c>
      <c r="O20" s="32">
        <v>7.4589999999999996</v>
      </c>
      <c r="P20" s="32">
        <v>33.700000000000003</v>
      </c>
      <c r="Q20" s="32">
        <v>83.9</v>
      </c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 t="s">
        <v>331</v>
      </c>
      <c r="C21" s="49" t="s">
        <v>95</v>
      </c>
      <c r="D21" s="49">
        <v>30</v>
      </c>
      <c r="E21" s="49">
        <v>237</v>
      </c>
      <c r="F21" s="49"/>
      <c r="G21" s="53">
        <v>3.04</v>
      </c>
      <c r="H21" s="53">
        <v>6.5</v>
      </c>
      <c r="I21" s="53">
        <v>19.5</v>
      </c>
      <c r="J21" s="53">
        <v>94</v>
      </c>
      <c r="K21" s="53">
        <v>5.5</v>
      </c>
      <c r="L21" s="53"/>
      <c r="M21" s="63">
        <f t="shared" si="0"/>
        <v>0</v>
      </c>
      <c r="N21" s="32">
        <v>7.2</v>
      </c>
      <c r="O21" s="32">
        <v>7.4290000000000003</v>
      </c>
      <c r="P21" s="32">
        <v>35.9</v>
      </c>
      <c r="Q21" s="32">
        <v>79.8</v>
      </c>
      <c r="R21">
        <v>159</v>
      </c>
      <c r="S21">
        <v>86</v>
      </c>
      <c r="T21">
        <v>391</v>
      </c>
      <c r="U21">
        <v>0.5</v>
      </c>
      <c r="V21">
        <v>25.74</v>
      </c>
      <c r="W21">
        <v>153</v>
      </c>
      <c r="X21">
        <v>117.43</v>
      </c>
      <c r="Y21">
        <v>205.22</v>
      </c>
      <c r="Z21">
        <v>5</v>
      </c>
      <c r="AA21" s="53"/>
      <c r="AB21" s="53"/>
      <c r="AC21" s="53"/>
      <c r="AD21" s="53"/>
      <c r="AE21" s="53">
        <v>138</v>
      </c>
      <c r="AF21" s="34">
        <v>19.8</v>
      </c>
      <c r="AG21" s="34">
        <v>15</v>
      </c>
      <c r="AH21" s="34">
        <v>1.23</v>
      </c>
    </row>
    <row r="22" spans="1:34">
      <c r="A22" s="51" t="s">
        <v>102</v>
      </c>
      <c r="B22" s="61" t="s">
        <v>332</v>
      </c>
      <c r="C22" s="49" t="s">
        <v>95</v>
      </c>
      <c r="D22" s="49">
        <v>39</v>
      </c>
      <c r="E22" s="49">
        <v>249</v>
      </c>
      <c r="F22" s="49"/>
      <c r="G22" s="53">
        <v>2.99</v>
      </c>
      <c r="H22" s="53">
        <v>6.5</v>
      </c>
      <c r="I22" s="53">
        <v>19.2</v>
      </c>
      <c r="J22" s="53">
        <v>84</v>
      </c>
      <c r="K22" s="53">
        <v>6.7</v>
      </c>
      <c r="L22" s="53"/>
      <c r="M22" s="63">
        <f t="shared" si="0"/>
        <v>0</v>
      </c>
      <c r="N22" s="32">
        <v>4.3</v>
      </c>
      <c r="O22" s="32"/>
      <c r="P22" s="32"/>
      <c r="Q22" s="32"/>
      <c r="R22">
        <v>246</v>
      </c>
      <c r="S22">
        <v>115</v>
      </c>
      <c r="T22">
        <v>418</v>
      </c>
      <c r="U22">
        <v>0.8</v>
      </c>
      <c r="V22">
        <v>25.04</v>
      </c>
      <c r="W22">
        <v>177</v>
      </c>
      <c r="X22">
        <v>141.37</v>
      </c>
      <c r="Y22">
        <v>137.25</v>
      </c>
      <c r="Z22">
        <v>5</v>
      </c>
      <c r="AA22" s="34"/>
      <c r="AB22" s="34"/>
      <c r="AC22" s="34"/>
      <c r="AD22" s="34"/>
      <c r="AE22" s="34">
        <v>139.1</v>
      </c>
      <c r="AF22" s="34">
        <v>17.2</v>
      </c>
      <c r="AG22" s="34">
        <v>16.8</v>
      </c>
      <c r="AH22" s="34">
        <v>1.86</v>
      </c>
    </row>
    <row r="23" spans="1:34">
      <c r="A23" s="51" t="s">
        <v>103</v>
      </c>
      <c r="B23" s="61"/>
      <c r="C23" s="49" t="s">
        <v>95</v>
      </c>
      <c r="D23" s="49">
        <v>55</v>
      </c>
      <c r="E23" s="49">
        <v>283</v>
      </c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>
        <v>1.2</v>
      </c>
      <c r="O23" s="32">
        <v>7.4809999999999999</v>
      </c>
      <c r="P23" s="32">
        <v>37.1</v>
      </c>
      <c r="Q23" s="32">
        <v>82.6</v>
      </c>
      <c r="R23">
        <v>213</v>
      </c>
      <c r="S23">
        <v>251</v>
      </c>
      <c r="T23">
        <v>430</v>
      </c>
      <c r="U23">
        <v>0.6</v>
      </c>
      <c r="V23">
        <v>19.350000000000001</v>
      </c>
      <c r="W23">
        <v>312</v>
      </c>
      <c r="X23">
        <v>491.33</v>
      </c>
      <c r="Y23">
        <v>149.16999999999999</v>
      </c>
      <c r="Z23">
        <v>5</v>
      </c>
      <c r="AA23" s="34"/>
      <c r="AB23" s="34"/>
      <c r="AC23" s="34"/>
      <c r="AD23" s="34"/>
      <c r="AE23" s="34">
        <v>131.1</v>
      </c>
      <c r="AF23" s="34">
        <v>12.1</v>
      </c>
      <c r="AG23" s="34">
        <v>27.2</v>
      </c>
      <c r="AH23" s="34">
        <v>4.0999999999999996</v>
      </c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s="49"/>
      <c r="E26" s="49"/>
      <c r="F26" s="49"/>
      <c r="G26" s="53"/>
      <c r="H26" s="53"/>
      <c r="I26" s="53"/>
      <c r="J26" s="53"/>
      <c r="K26" s="53"/>
      <c r="L26" s="53"/>
      <c r="M26" s="63" t="e">
        <f t="shared" si="0"/>
        <v>#DIV/0!</v>
      </c>
      <c r="N26" s="32"/>
      <c r="O26" s="32"/>
      <c r="P26" s="32"/>
      <c r="Q26" s="32"/>
      <c r="R26" s="53"/>
      <c r="S26" s="53"/>
      <c r="T26" s="53"/>
      <c r="U26" s="53"/>
      <c r="V26" s="53"/>
      <c r="W26" s="53"/>
      <c r="X26" s="53"/>
      <c r="Y26" s="53"/>
      <c r="Z26" s="53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41E4A488-D5DC-A243-98DE-B4D84A9FF90C}">
      <formula1>"incomplete,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29AA-638A-9D45-A629-73042E94E577}">
  <dimension ref="A1:AZ27"/>
  <sheetViews>
    <sheetView workbookViewId="0">
      <selection activeCell="H14" sqref="H14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1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333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91">
        <v>1.97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114">
        <v>45156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61.96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61.96</v>
      </c>
      <c r="C8" s="67" t="s">
        <v>334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8535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335</v>
      </c>
      <c r="C15" s="49" t="s">
        <v>95</v>
      </c>
      <c r="D15" s="49">
        <v>66</v>
      </c>
      <c r="E15" s="49">
        <v>219</v>
      </c>
      <c r="F15" s="49"/>
      <c r="G15" s="62">
        <v>5.59</v>
      </c>
      <c r="H15">
        <v>12.3</v>
      </c>
      <c r="I15">
        <v>37.299999999999997</v>
      </c>
      <c r="J15" s="53">
        <v>376</v>
      </c>
      <c r="K15" s="53">
        <v>2.9</v>
      </c>
      <c r="L15" s="53"/>
      <c r="M15" s="63">
        <f t="shared" ref="M15:M25" si="0">(L15/(((H15*10)/64500)*10^6))*100</f>
        <v>0</v>
      </c>
      <c r="N15">
        <v>1</v>
      </c>
      <c r="O15" s="32">
        <v>7.4690000000000003</v>
      </c>
      <c r="P15" s="32">
        <v>40.299999999999997</v>
      </c>
      <c r="Q15" s="32">
        <v>68</v>
      </c>
      <c r="R15">
        <v>32</v>
      </c>
      <c r="S15">
        <v>47</v>
      </c>
      <c r="T15">
        <v>143</v>
      </c>
      <c r="U15">
        <v>0.7</v>
      </c>
      <c r="V15">
        <v>12.69</v>
      </c>
      <c r="W15">
        <v>242</v>
      </c>
      <c r="X15">
        <v>114.35</v>
      </c>
      <c r="Y15">
        <v>165.69</v>
      </c>
      <c r="Z15">
        <v>2</v>
      </c>
      <c r="AA15" s="53"/>
      <c r="AB15" s="53"/>
      <c r="AC15" s="53"/>
      <c r="AD15" s="53"/>
      <c r="AE15" s="53">
        <v>140.4</v>
      </c>
      <c r="AF15" s="34">
        <v>20.100000000000001</v>
      </c>
      <c r="AG15" s="34">
        <v>19.2</v>
      </c>
      <c r="AH15" s="34">
        <v>1.41</v>
      </c>
    </row>
    <row r="16" spans="1:52">
      <c r="A16" s="51" t="s">
        <v>96</v>
      </c>
      <c r="B16" s="61" t="s">
        <v>336</v>
      </c>
      <c r="C16" s="49" t="s">
        <v>95</v>
      </c>
      <c r="D16" s="49">
        <v>24</v>
      </c>
      <c r="E16" s="49">
        <v>227</v>
      </c>
      <c r="F16" s="49"/>
      <c r="G16" s="53">
        <v>3.62</v>
      </c>
      <c r="H16">
        <v>8.1999999999999993</v>
      </c>
      <c r="I16">
        <v>24.1</v>
      </c>
      <c r="J16" s="53">
        <v>197</v>
      </c>
      <c r="K16" s="53">
        <v>5.2</v>
      </c>
      <c r="L16" s="53"/>
      <c r="M16" s="63">
        <f t="shared" si="0"/>
        <v>0</v>
      </c>
      <c r="N16">
        <v>13.5</v>
      </c>
      <c r="O16" s="32">
        <v>7.38</v>
      </c>
      <c r="P16" s="32">
        <v>25.1</v>
      </c>
      <c r="Q16" s="32">
        <v>99.2</v>
      </c>
      <c r="R16">
        <v>78</v>
      </c>
      <c r="S16">
        <v>40</v>
      </c>
      <c r="T16">
        <v>159</v>
      </c>
      <c r="U16">
        <v>1.7</v>
      </c>
      <c r="V16">
        <v>21.32</v>
      </c>
      <c r="W16">
        <v>236</v>
      </c>
      <c r="X16">
        <v>144.15</v>
      </c>
      <c r="Y16">
        <v>540.6</v>
      </c>
      <c r="Z16">
        <v>2</v>
      </c>
      <c r="AA16" s="53"/>
      <c r="AB16" s="53"/>
      <c r="AC16" s="53"/>
      <c r="AD16" s="53"/>
      <c r="AE16" s="53">
        <v>140.6</v>
      </c>
      <c r="AF16" s="34">
        <v>12.3</v>
      </c>
      <c r="AG16" s="34">
        <v>20.6</v>
      </c>
      <c r="AH16" s="34">
        <v>2.75</v>
      </c>
    </row>
    <row r="17" spans="1:34">
      <c r="A17" s="51" t="s">
        <v>97</v>
      </c>
      <c r="B17" s="61" t="s">
        <v>337</v>
      </c>
      <c r="C17" s="49" t="s">
        <v>95</v>
      </c>
      <c r="D17" s="49">
        <v>41</v>
      </c>
      <c r="E17" s="49">
        <v>254</v>
      </c>
      <c r="F17" s="49"/>
      <c r="G17" s="53">
        <v>2.7</v>
      </c>
      <c r="H17">
        <v>6.1</v>
      </c>
      <c r="I17">
        <v>17.8</v>
      </c>
      <c r="J17" s="53">
        <v>137</v>
      </c>
      <c r="K17" s="53">
        <v>4.2</v>
      </c>
      <c r="L17" s="53"/>
      <c r="M17" s="63">
        <f t="shared" si="0"/>
        <v>0</v>
      </c>
      <c r="N17">
        <v>14.8</v>
      </c>
      <c r="O17" s="32">
        <v>7.3019999999999996</v>
      </c>
      <c r="P17" s="32">
        <v>31.3</v>
      </c>
      <c r="Q17" s="32">
        <v>104</v>
      </c>
      <c r="R17">
        <v>118</v>
      </c>
      <c r="S17">
        <v>37</v>
      </c>
      <c r="T17">
        <v>217</v>
      </c>
      <c r="U17">
        <v>1.5</v>
      </c>
      <c r="V17">
        <v>21.45</v>
      </c>
      <c r="W17">
        <v>177</v>
      </c>
      <c r="X17">
        <v>115.68</v>
      </c>
      <c r="Y17">
        <v>494.36</v>
      </c>
      <c r="Z17">
        <v>2</v>
      </c>
      <c r="AA17" s="53"/>
      <c r="AB17" s="53"/>
      <c r="AC17" s="53"/>
      <c r="AD17" s="53"/>
      <c r="AE17" s="53">
        <v>14.6</v>
      </c>
      <c r="AF17" s="34">
        <v>19.2</v>
      </c>
      <c r="AG17" s="34">
        <v>33.5</v>
      </c>
      <c r="AH17" s="34">
        <v>1.68</v>
      </c>
    </row>
    <row r="18" spans="1:34">
      <c r="A18" s="65" t="s">
        <v>98</v>
      </c>
      <c r="B18" s="61" t="s">
        <v>338</v>
      </c>
      <c r="C18" s="49" t="s">
        <v>95</v>
      </c>
      <c r="D18" s="49">
        <v>35</v>
      </c>
      <c r="E18" s="49">
        <v>281</v>
      </c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>
        <v>11.4</v>
      </c>
      <c r="O18" s="32">
        <v>7.4370000000000003</v>
      </c>
      <c r="P18" s="32">
        <v>28.5</v>
      </c>
      <c r="Q18" s="32">
        <v>102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 t="s">
        <v>339</v>
      </c>
      <c r="C19" s="49" t="s">
        <v>95</v>
      </c>
      <c r="D19" s="49">
        <v>45</v>
      </c>
      <c r="E19" s="49">
        <v>297</v>
      </c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>
        <v>8.5</v>
      </c>
      <c r="O19" s="32">
        <v>7.4630000000000001</v>
      </c>
      <c r="P19" s="32">
        <v>26.4</v>
      </c>
      <c r="Q19" s="32">
        <v>104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 t="s">
        <v>340</v>
      </c>
      <c r="C20" s="49" t="s">
        <v>95</v>
      </c>
      <c r="D20" s="49">
        <v>49</v>
      </c>
      <c r="E20" s="49">
        <v>297</v>
      </c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>
        <v>5.3</v>
      </c>
      <c r="O20" s="32">
        <v>7.452</v>
      </c>
      <c r="P20" s="32">
        <v>25.4</v>
      </c>
      <c r="Q20" s="32">
        <v>103</v>
      </c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 t="s">
        <v>341</v>
      </c>
      <c r="C21" s="49" t="s">
        <v>95</v>
      </c>
      <c r="D21" s="49">
        <v>48</v>
      </c>
      <c r="E21" s="49">
        <v>294</v>
      </c>
      <c r="F21" s="49"/>
      <c r="G21" s="53">
        <v>3.72</v>
      </c>
      <c r="H21">
        <v>8.1999999999999993</v>
      </c>
      <c r="I21">
        <v>24.5</v>
      </c>
      <c r="J21">
        <v>122</v>
      </c>
      <c r="K21" s="53">
        <v>0</v>
      </c>
      <c r="L21" s="53"/>
      <c r="M21" s="63">
        <f t="shared" si="0"/>
        <v>0</v>
      </c>
      <c r="N21">
        <v>6.7</v>
      </c>
      <c r="O21" s="32">
        <v>7.4080000000000004</v>
      </c>
      <c r="P21" s="32">
        <v>30.2</v>
      </c>
      <c r="Q21" s="32">
        <v>102</v>
      </c>
      <c r="R21">
        <v>96</v>
      </c>
      <c r="S21">
        <v>38</v>
      </c>
      <c r="T21">
        <v>275</v>
      </c>
      <c r="U21">
        <v>1.3</v>
      </c>
      <c r="V21">
        <v>27.46</v>
      </c>
      <c r="W21">
        <v>182</v>
      </c>
      <c r="X21">
        <v>102.51</v>
      </c>
      <c r="Y21">
        <v>278.66000000000003</v>
      </c>
      <c r="Z21">
        <v>2</v>
      </c>
      <c r="AA21" s="34"/>
      <c r="AB21" s="34"/>
      <c r="AC21" s="34"/>
      <c r="AD21" s="34"/>
      <c r="AE21" s="34">
        <v>130.9</v>
      </c>
      <c r="AF21" s="34">
        <v>31.5</v>
      </c>
      <c r="AG21" s="34">
        <v>16.100000000000001</v>
      </c>
      <c r="AH21" s="34">
        <v>1.1200000000000001</v>
      </c>
    </row>
    <row r="22" spans="1:34">
      <c r="A22" s="51" t="s">
        <v>102</v>
      </c>
      <c r="B22" s="61" t="s">
        <v>342</v>
      </c>
      <c r="C22" s="49" t="s">
        <v>95</v>
      </c>
      <c r="D22" s="49">
        <v>49</v>
      </c>
      <c r="E22" s="49">
        <v>297</v>
      </c>
      <c r="F22" s="49"/>
      <c r="G22" s="53">
        <v>3.51</v>
      </c>
      <c r="H22">
        <v>7.7</v>
      </c>
      <c r="I22">
        <v>23.1</v>
      </c>
      <c r="J22">
        <v>106</v>
      </c>
      <c r="K22" s="53">
        <v>0</v>
      </c>
      <c r="L22" s="53"/>
      <c r="M22" s="63">
        <f t="shared" si="0"/>
        <v>0</v>
      </c>
      <c r="N22">
        <v>3.6</v>
      </c>
      <c r="O22" s="32">
        <v>7.49</v>
      </c>
      <c r="P22" s="32">
        <v>30.4</v>
      </c>
      <c r="Q22" s="32">
        <v>98</v>
      </c>
      <c r="R22">
        <v>115</v>
      </c>
      <c r="S22">
        <v>43</v>
      </c>
      <c r="T22">
        <v>383</v>
      </c>
      <c r="U22">
        <v>1.2</v>
      </c>
      <c r="V22">
        <v>27.8</v>
      </c>
      <c r="W22">
        <v>190</v>
      </c>
      <c r="X22">
        <v>107.11</v>
      </c>
      <c r="Y22">
        <v>177.95</v>
      </c>
      <c r="Z22">
        <v>2</v>
      </c>
      <c r="AA22" s="34"/>
      <c r="AB22" s="34"/>
      <c r="AC22" s="34"/>
      <c r="AD22" s="34"/>
      <c r="AE22" s="34">
        <v>139.80000000000001</v>
      </c>
      <c r="AF22" s="34">
        <v>14</v>
      </c>
      <c r="AG22" s="34">
        <v>12.5</v>
      </c>
      <c r="AH22" s="34">
        <v>1.26</v>
      </c>
    </row>
    <row r="23" spans="1:34">
      <c r="A23" s="51" t="s">
        <v>103</v>
      </c>
      <c r="B23" s="61" t="s">
        <v>343</v>
      </c>
      <c r="C23" s="49" t="s">
        <v>95</v>
      </c>
      <c r="D23" s="49">
        <v>51</v>
      </c>
      <c r="E23" s="49">
        <v>263</v>
      </c>
      <c r="F23" s="49"/>
      <c r="G23" s="53">
        <v>2.77</v>
      </c>
      <c r="H23">
        <v>6.2</v>
      </c>
      <c r="I23">
        <v>18.3</v>
      </c>
      <c r="J23">
        <v>185</v>
      </c>
      <c r="K23" s="53">
        <v>6</v>
      </c>
      <c r="L23" s="53"/>
      <c r="M23" s="63">
        <f t="shared" si="0"/>
        <v>0</v>
      </c>
      <c r="N23">
        <v>0.4</v>
      </c>
      <c r="O23" s="32">
        <v>7.4710000000000001</v>
      </c>
      <c r="P23" s="32">
        <v>34.4</v>
      </c>
      <c r="Q23" s="32">
        <v>85.9</v>
      </c>
      <c r="R23">
        <v>162</v>
      </c>
      <c r="S23">
        <v>153</v>
      </c>
      <c r="T23">
        <v>141</v>
      </c>
      <c r="U23">
        <v>0.6</v>
      </c>
      <c r="V23">
        <v>12.26</v>
      </c>
      <c r="W23">
        <v>503</v>
      </c>
      <c r="X23">
        <v>313.44</v>
      </c>
      <c r="Y23">
        <v>151.25</v>
      </c>
      <c r="Z23">
        <v>2</v>
      </c>
      <c r="AA23" s="34"/>
      <c r="AB23" s="34"/>
      <c r="AC23" s="34"/>
      <c r="AD23" s="34"/>
      <c r="AE23" s="34">
        <v>140.30000000000001</v>
      </c>
      <c r="AF23" s="34">
        <v>8.6</v>
      </c>
      <c r="AG23" s="34">
        <v>20.100000000000001</v>
      </c>
      <c r="AH23" s="34">
        <v>2.12</v>
      </c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/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F8292D69-05F9-B24A-9255-097CB4073FA3}">
      <formula1>"incomplete, COMPLETED"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B75A-916C-534F-B30F-20411D6C0AC9}">
  <dimension ref="A1:AZ27"/>
  <sheetViews>
    <sheetView tabSelected="1" workbookViewId="0">
      <selection activeCell="E23" sqref="E23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1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344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94">
        <v>1.83</v>
      </c>
      <c r="C5" s="95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80">
        <v>45163</v>
      </c>
      <c r="C6" s="81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57.65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57.65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78">
        <v>8428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0.29166666666666669</v>
      </c>
      <c r="C15" s="49" t="s">
        <v>95</v>
      </c>
      <c r="D15" t="s">
        <v>345</v>
      </c>
      <c r="E15">
        <v>269</v>
      </c>
      <c r="F15" t="s">
        <v>111</v>
      </c>
      <c r="G15" t="s">
        <v>346</v>
      </c>
      <c r="H15" t="s">
        <v>347</v>
      </c>
      <c r="I15" t="s">
        <v>348</v>
      </c>
      <c r="J15" t="s">
        <v>349</v>
      </c>
      <c r="K15">
        <v>3.6</v>
      </c>
      <c r="L15" t="s">
        <v>111</v>
      </c>
      <c r="M15" t="s">
        <v>111</v>
      </c>
      <c r="N15" t="s">
        <v>116</v>
      </c>
      <c r="O15">
        <v>7.4210000000000003</v>
      </c>
      <c r="P15">
        <v>44.5</v>
      </c>
      <c r="Q15">
        <v>55.6</v>
      </c>
      <c r="R15" t="s">
        <v>153</v>
      </c>
      <c r="S15" t="s">
        <v>350</v>
      </c>
      <c r="T15" t="s">
        <v>188</v>
      </c>
      <c r="U15" t="s">
        <v>240</v>
      </c>
      <c r="V15" t="s">
        <v>351</v>
      </c>
      <c r="W15" t="s">
        <v>352</v>
      </c>
      <c r="X15" t="s">
        <v>353</v>
      </c>
      <c r="Y15" t="s">
        <v>354</v>
      </c>
      <c r="Z15" t="s">
        <v>130</v>
      </c>
      <c r="AA15" t="s">
        <v>355</v>
      </c>
      <c r="AB15" t="s">
        <v>356</v>
      </c>
      <c r="AC15" t="s">
        <v>357</v>
      </c>
      <c r="AD15" t="s">
        <v>358</v>
      </c>
      <c r="AE15" s="53">
        <v>9.8000000000000007</v>
      </c>
      <c r="AF15" s="34">
        <v>19.399999999999999</v>
      </c>
      <c r="AG15" s="34">
        <v>19.3</v>
      </c>
      <c r="AH15" s="34">
        <v>1.1399999999999999</v>
      </c>
    </row>
    <row r="16" spans="1:52">
      <c r="A16" s="51" t="s">
        <v>96</v>
      </c>
      <c r="B16" s="61">
        <v>0.39930555555555558</v>
      </c>
      <c r="C16" s="49" t="s">
        <v>95</v>
      </c>
      <c r="D16" t="s">
        <v>359</v>
      </c>
      <c r="E16">
        <v>195</v>
      </c>
      <c r="F16" t="s">
        <v>111</v>
      </c>
      <c r="G16" t="s">
        <v>360</v>
      </c>
      <c r="H16" t="s">
        <v>262</v>
      </c>
      <c r="I16" t="s">
        <v>361</v>
      </c>
      <c r="J16" t="s">
        <v>362</v>
      </c>
      <c r="K16">
        <v>1.7</v>
      </c>
      <c r="L16" t="s">
        <v>111</v>
      </c>
      <c r="M16" t="s">
        <v>111</v>
      </c>
      <c r="N16" t="s">
        <v>363</v>
      </c>
      <c r="O16">
        <v>7.3479999999999999</v>
      </c>
      <c r="P16">
        <v>21.9</v>
      </c>
      <c r="Q16">
        <v>90.3</v>
      </c>
      <c r="R16" t="s">
        <v>364</v>
      </c>
      <c r="S16" t="s">
        <v>365</v>
      </c>
      <c r="T16" t="s">
        <v>366</v>
      </c>
      <c r="U16" t="s">
        <v>136</v>
      </c>
      <c r="V16" t="s">
        <v>367</v>
      </c>
      <c r="W16" t="s">
        <v>368</v>
      </c>
      <c r="X16" t="s">
        <v>369</v>
      </c>
      <c r="Y16" t="s">
        <v>370</v>
      </c>
      <c r="Z16" t="s">
        <v>142</v>
      </c>
      <c r="AA16" t="s">
        <v>371</v>
      </c>
      <c r="AB16" t="s">
        <v>111</v>
      </c>
      <c r="AC16" t="s">
        <v>111</v>
      </c>
      <c r="AD16" t="s">
        <v>372</v>
      </c>
      <c r="AE16" s="53">
        <v>130.4</v>
      </c>
      <c r="AF16" s="34">
        <v>14.9</v>
      </c>
      <c r="AG16" s="34">
        <v>29.4</v>
      </c>
      <c r="AH16" s="34">
        <v>1.7</v>
      </c>
    </row>
    <row r="17" spans="1:34">
      <c r="A17" s="51" t="s">
        <v>97</v>
      </c>
      <c r="B17" s="61">
        <v>0.40625</v>
      </c>
      <c r="C17" s="49" t="s">
        <v>95</v>
      </c>
      <c r="D17" t="s">
        <v>279</v>
      </c>
      <c r="E17">
        <v>177</v>
      </c>
      <c r="F17" t="s">
        <v>111</v>
      </c>
      <c r="G17" t="s">
        <v>373</v>
      </c>
      <c r="H17" t="s">
        <v>198</v>
      </c>
      <c r="I17" t="s">
        <v>374</v>
      </c>
      <c r="J17" t="s">
        <v>375</v>
      </c>
      <c r="K17">
        <v>2.1</v>
      </c>
      <c r="L17" t="s">
        <v>111</v>
      </c>
      <c r="M17" t="s">
        <v>111</v>
      </c>
      <c r="N17" t="s">
        <v>376</v>
      </c>
      <c r="O17">
        <v>7.181</v>
      </c>
      <c r="P17">
        <v>38.5</v>
      </c>
      <c r="Q17">
        <v>24</v>
      </c>
      <c r="R17" t="s">
        <v>377</v>
      </c>
      <c r="S17" t="s">
        <v>378</v>
      </c>
      <c r="T17" t="s">
        <v>379</v>
      </c>
      <c r="U17" t="s">
        <v>380</v>
      </c>
      <c r="V17" t="s">
        <v>381</v>
      </c>
      <c r="W17" t="s">
        <v>382</v>
      </c>
      <c r="X17" t="s">
        <v>383</v>
      </c>
      <c r="Y17" t="s">
        <v>384</v>
      </c>
      <c r="Z17" t="s">
        <v>142</v>
      </c>
      <c r="AA17" t="s">
        <v>126</v>
      </c>
      <c r="AB17" t="s">
        <v>385</v>
      </c>
      <c r="AC17" t="s">
        <v>386</v>
      </c>
      <c r="AD17" t="s">
        <v>387</v>
      </c>
      <c r="AE17" s="53">
        <v>9</v>
      </c>
      <c r="AF17" s="34">
        <v>18.399999999999999</v>
      </c>
      <c r="AG17" s="34">
        <v>32.5</v>
      </c>
      <c r="AH17" s="34">
        <v>1.88</v>
      </c>
    </row>
    <row r="18" spans="1:34">
      <c r="A18" s="65" t="s">
        <v>98</v>
      </c>
      <c r="B18" s="61">
        <v>0.44791666666666669</v>
      </c>
      <c r="C18" s="49" t="s">
        <v>95</v>
      </c>
      <c r="D18" t="s">
        <v>388</v>
      </c>
      <c r="E18">
        <v>181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389</v>
      </c>
      <c r="O18">
        <v>7.274</v>
      </c>
      <c r="P18">
        <v>40.4</v>
      </c>
      <c r="Q18">
        <v>19.2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>
        <v>0.48958333333333331</v>
      </c>
      <c r="C19" s="49" t="s">
        <v>95</v>
      </c>
      <c r="D19" t="s">
        <v>118</v>
      </c>
      <c r="E19">
        <v>299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390</v>
      </c>
      <c r="O19">
        <v>7.3159999999999998</v>
      </c>
      <c r="P19">
        <v>38.200000000000003</v>
      </c>
      <c r="Q19">
        <v>26.9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>
        <v>0.53125</v>
      </c>
      <c r="C20" s="49" t="s">
        <v>95</v>
      </c>
      <c r="D20" t="s">
        <v>359</v>
      </c>
      <c r="E20">
        <v>286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252</v>
      </c>
      <c r="O20">
        <v>7.343</v>
      </c>
      <c r="P20">
        <v>39.5</v>
      </c>
      <c r="Q20">
        <v>24.2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>
        <v>0.53819444444444442</v>
      </c>
      <c r="C21" s="49" t="s">
        <v>95</v>
      </c>
      <c r="D21" t="s">
        <v>190</v>
      </c>
      <c r="E21">
        <v>278</v>
      </c>
      <c r="F21" t="s">
        <v>111</v>
      </c>
      <c r="G21" t="s">
        <v>391</v>
      </c>
      <c r="H21" t="s">
        <v>245</v>
      </c>
      <c r="I21" t="s">
        <v>392</v>
      </c>
      <c r="J21" t="s">
        <v>393</v>
      </c>
      <c r="K21">
        <v>2</v>
      </c>
      <c r="L21" t="s">
        <v>111</v>
      </c>
      <c r="M21" t="s">
        <v>111</v>
      </c>
      <c r="N21" t="s">
        <v>394</v>
      </c>
      <c r="O21">
        <v>7.2309999999999999</v>
      </c>
      <c r="P21">
        <v>43.3</v>
      </c>
      <c r="Q21">
        <v>29.9</v>
      </c>
      <c r="R21" t="s">
        <v>395</v>
      </c>
      <c r="S21" t="s">
        <v>396</v>
      </c>
      <c r="T21" t="s">
        <v>397</v>
      </c>
      <c r="U21" t="s">
        <v>301</v>
      </c>
      <c r="V21" t="s">
        <v>398</v>
      </c>
      <c r="W21" t="s">
        <v>352</v>
      </c>
      <c r="X21" t="s">
        <v>399</v>
      </c>
      <c r="Y21" t="s">
        <v>400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34">
        <v>129.69999999999999</v>
      </c>
      <c r="AF21" s="34">
        <v>26.8</v>
      </c>
      <c r="AG21" s="34">
        <v>15.6</v>
      </c>
      <c r="AH21" s="34">
        <v>0.86</v>
      </c>
    </row>
    <row r="22" spans="1:34">
      <c r="A22" s="51" t="s">
        <v>102</v>
      </c>
      <c r="B22" s="61">
        <v>0.57986111111111116</v>
      </c>
      <c r="C22" s="49" t="s">
        <v>95</v>
      </c>
      <c r="D22" t="s">
        <v>358</v>
      </c>
      <c r="E22">
        <v>277</v>
      </c>
      <c r="F22" t="s">
        <v>111</v>
      </c>
      <c r="G22" t="s">
        <v>402</v>
      </c>
      <c r="H22" t="s">
        <v>403</v>
      </c>
      <c r="I22" t="s">
        <v>404</v>
      </c>
      <c r="J22" t="s">
        <v>405</v>
      </c>
      <c r="K22">
        <v>1.8</v>
      </c>
      <c r="L22" t="s">
        <v>111</v>
      </c>
      <c r="M22" t="s">
        <v>111</v>
      </c>
      <c r="N22" t="s">
        <v>258</v>
      </c>
      <c r="O22">
        <v>7.2560000000000002</v>
      </c>
      <c r="P22">
        <v>43.2</v>
      </c>
      <c r="Q22">
        <v>21.2</v>
      </c>
      <c r="R22" t="s">
        <v>406</v>
      </c>
      <c r="S22" t="s">
        <v>407</v>
      </c>
      <c r="T22" t="s">
        <v>408</v>
      </c>
      <c r="U22" t="s">
        <v>192</v>
      </c>
      <c r="V22" t="s">
        <v>409</v>
      </c>
      <c r="W22" t="s">
        <v>410</v>
      </c>
      <c r="X22" t="s">
        <v>411</v>
      </c>
      <c r="Y22" t="s">
        <v>412</v>
      </c>
      <c r="Z22" t="s">
        <v>401</v>
      </c>
      <c r="AA22" t="s">
        <v>204</v>
      </c>
      <c r="AB22" t="s">
        <v>199</v>
      </c>
      <c r="AC22" t="s">
        <v>413</v>
      </c>
      <c r="AD22" t="s">
        <v>229</v>
      </c>
      <c r="AE22" s="53">
        <v>140.1</v>
      </c>
      <c r="AF22" s="34">
        <v>20.399999999999999</v>
      </c>
      <c r="AG22" s="34">
        <v>11.7</v>
      </c>
      <c r="AH22" s="34">
        <v>1.08</v>
      </c>
    </row>
    <row r="23" spans="1:34">
      <c r="A23" s="51" t="s">
        <v>103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F25" s="34"/>
      <c r="AG25" s="34"/>
      <c r="AH25" s="34"/>
    </row>
    <row r="26" spans="1:34">
      <c r="A26" s="46"/>
      <c r="B26" s="64"/>
      <c r="C26" s="64"/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41E4CAE-7EB4-9949-B042-02AAFBF9643A}">
      <formula1>"incomplete, COMPLETED"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BDCC-C066-9E43-8369-5C3308853AE8}">
  <dimension ref="A1:AZ27"/>
  <sheetViews>
    <sheetView topLeftCell="A4" workbookViewId="0">
      <selection activeCell="D10" sqref="D10"/>
    </sheetView>
  </sheetViews>
  <sheetFormatPr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6.1" customHeight="1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91" t="s">
        <v>414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91">
        <v>1.81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114">
        <v>45163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57.01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57.01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8532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0.25972222222222224</v>
      </c>
      <c r="C15" s="49" t="s">
        <v>95</v>
      </c>
      <c r="D15">
        <v>81</v>
      </c>
      <c r="E15">
        <v>273</v>
      </c>
      <c r="F15" t="s">
        <v>111</v>
      </c>
      <c r="G15" t="s">
        <v>415</v>
      </c>
      <c r="H15" t="s">
        <v>416</v>
      </c>
      <c r="I15" t="s">
        <v>417</v>
      </c>
      <c r="J15" t="s">
        <v>418</v>
      </c>
      <c r="K15">
        <v>5.3</v>
      </c>
      <c r="L15" t="s">
        <v>111</v>
      </c>
      <c r="M15" t="s">
        <v>111</v>
      </c>
      <c r="N15" t="s">
        <v>419</v>
      </c>
      <c r="O15">
        <v>7.4870000000000001</v>
      </c>
      <c r="P15">
        <v>36.9</v>
      </c>
      <c r="Q15">
        <v>83.2</v>
      </c>
      <c r="R15" t="s">
        <v>133</v>
      </c>
      <c r="S15" t="s">
        <v>350</v>
      </c>
      <c r="T15" t="s">
        <v>420</v>
      </c>
      <c r="U15" t="s">
        <v>192</v>
      </c>
      <c r="V15" t="s">
        <v>421</v>
      </c>
      <c r="W15" t="s">
        <v>138</v>
      </c>
      <c r="X15" t="s">
        <v>422</v>
      </c>
      <c r="Y15" t="s">
        <v>423</v>
      </c>
      <c r="Z15" t="s">
        <v>142</v>
      </c>
      <c r="AA15" t="s">
        <v>424</v>
      </c>
      <c r="AB15" t="s">
        <v>356</v>
      </c>
      <c r="AC15" t="s">
        <v>425</v>
      </c>
      <c r="AD15" t="s">
        <v>426</v>
      </c>
      <c r="AE15" s="53">
        <v>136.30000000000001</v>
      </c>
      <c r="AF15" s="34">
        <v>17.600000000000001</v>
      </c>
      <c r="AG15" s="34">
        <v>20.6</v>
      </c>
      <c r="AH15" s="34">
        <v>1.56</v>
      </c>
    </row>
    <row r="16" spans="1:52">
      <c r="A16" s="51" t="s">
        <v>96</v>
      </c>
      <c r="B16" s="61">
        <v>0.40416666666666667</v>
      </c>
      <c r="C16" s="49" t="s">
        <v>95</v>
      </c>
      <c r="D16">
        <v>90</v>
      </c>
      <c r="E16">
        <v>294</v>
      </c>
      <c r="F16" t="s">
        <v>111</v>
      </c>
      <c r="G16" t="s">
        <v>427</v>
      </c>
      <c r="H16" t="s">
        <v>428</v>
      </c>
      <c r="I16" t="s">
        <v>131</v>
      </c>
      <c r="J16" t="s">
        <v>132</v>
      </c>
      <c r="K16">
        <v>3.8</v>
      </c>
      <c r="L16" t="s">
        <v>111</v>
      </c>
      <c r="M16" t="s">
        <v>111</v>
      </c>
      <c r="N16" t="s">
        <v>429</v>
      </c>
      <c r="O16">
        <v>7.4260000000000002</v>
      </c>
      <c r="P16">
        <v>42</v>
      </c>
      <c r="Q16">
        <v>84.6</v>
      </c>
      <c r="R16" t="s">
        <v>430</v>
      </c>
      <c r="S16" t="s">
        <v>431</v>
      </c>
      <c r="T16" t="s">
        <v>275</v>
      </c>
      <c r="U16" t="s">
        <v>136</v>
      </c>
      <c r="V16" t="s">
        <v>432</v>
      </c>
      <c r="W16" t="s">
        <v>433</v>
      </c>
      <c r="X16" t="s">
        <v>434</v>
      </c>
      <c r="Y16" t="s">
        <v>435</v>
      </c>
      <c r="Z16" t="s">
        <v>142</v>
      </c>
      <c r="AA16" t="s">
        <v>436</v>
      </c>
      <c r="AB16" t="s">
        <v>116</v>
      </c>
      <c r="AC16" t="s">
        <v>437</v>
      </c>
      <c r="AD16" t="s">
        <v>438</v>
      </c>
      <c r="AE16" s="53">
        <v>135.30000000000001</v>
      </c>
      <c r="AF16" s="34">
        <v>20.8</v>
      </c>
      <c r="AG16" s="34">
        <v>49.8</v>
      </c>
      <c r="AH16" s="34">
        <v>3.14</v>
      </c>
    </row>
    <row r="17" spans="1:34">
      <c r="A17" s="51" t="s">
        <v>97</v>
      </c>
      <c r="B17" s="61">
        <v>0.41111111111111109</v>
      </c>
      <c r="C17" s="49" t="s">
        <v>95</v>
      </c>
      <c r="D17">
        <v>61</v>
      </c>
      <c r="E17">
        <v>292</v>
      </c>
      <c r="F17" t="s">
        <v>111</v>
      </c>
      <c r="G17" t="s">
        <v>439</v>
      </c>
      <c r="H17" t="s">
        <v>440</v>
      </c>
      <c r="I17" t="s">
        <v>441</v>
      </c>
      <c r="J17" t="s">
        <v>395</v>
      </c>
      <c r="K17">
        <v>3.1</v>
      </c>
      <c r="L17" t="s">
        <v>111</v>
      </c>
      <c r="M17" t="s">
        <v>111</v>
      </c>
      <c r="N17" t="s">
        <v>371</v>
      </c>
      <c r="O17">
        <v>7.4</v>
      </c>
      <c r="P17">
        <v>40.700000000000003</v>
      </c>
      <c r="Q17">
        <v>102</v>
      </c>
      <c r="R17" t="s">
        <v>153</v>
      </c>
      <c r="S17" t="s">
        <v>176</v>
      </c>
      <c r="T17" t="s">
        <v>420</v>
      </c>
      <c r="U17" t="s">
        <v>192</v>
      </c>
      <c r="V17" t="s">
        <v>442</v>
      </c>
      <c r="W17" t="s">
        <v>443</v>
      </c>
      <c r="X17" t="s">
        <v>444</v>
      </c>
      <c r="Y17" t="s">
        <v>445</v>
      </c>
      <c r="Z17" t="s">
        <v>197</v>
      </c>
      <c r="AA17" t="s">
        <v>446</v>
      </c>
      <c r="AB17" t="s">
        <v>143</v>
      </c>
      <c r="AC17" t="s">
        <v>447</v>
      </c>
      <c r="AD17" t="s">
        <v>190</v>
      </c>
      <c r="AE17" s="53">
        <v>125.4</v>
      </c>
      <c r="AF17" s="34">
        <v>17.7</v>
      </c>
      <c r="AG17" s="34">
        <v>15.4</v>
      </c>
      <c r="AH17" s="34">
        <v>1.89</v>
      </c>
    </row>
    <row r="18" spans="1:34">
      <c r="A18" s="65" t="s">
        <v>98</v>
      </c>
      <c r="B18" s="61">
        <v>0.45277777777777778</v>
      </c>
      <c r="C18" s="49" t="s">
        <v>95</v>
      </c>
      <c r="D18">
        <v>62</v>
      </c>
      <c r="E18">
        <v>219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448</v>
      </c>
      <c r="O18">
        <v>7.4690000000000003</v>
      </c>
      <c r="P18">
        <v>34.700000000000003</v>
      </c>
      <c r="Q18">
        <v>89.1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>
        <v>0.49444444444444446</v>
      </c>
      <c r="C19" s="49" t="s">
        <v>95</v>
      </c>
      <c r="D19">
        <v>36</v>
      </c>
      <c r="E19">
        <v>251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158</v>
      </c>
      <c r="O19">
        <v>7.4859999999999998</v>
      </c>
      <c r="P19">
        <v>34.200000000000003</v>
      </c>
      <c r="Q19">
        <v>89.1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449</v>
      </c>
      <c r="C20" s="49" t="s">
        <v>95</v>
      </c>
      <c r="D20">
        <v>62</v>
      </c>
      <c r="E20">
        <v>276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148</v>
      </c>
      <c r="O20">
        <v>7.51</v>
      </c>
      <c r="P20">
        <v>35.799999999999997</v>
      </c>
      <c r="Q20">
        <v>98.9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450</v>
      </c>
      <c r="C21" s="49" t="s">
        <v>95</v>
      </c>
      <c r="D21" t="s">
        <v>201</v>
      </c>
      <c r="E21">
        <v>270</v>
      </c>
      <c r="F21" t="s">
        <v>111</v>
      </c>
      <c r="G21" t="s">
        <v>451</v>
      </c>
      <c r="H21" t="s">
        <v>446</v>
      </c>
      <c r="I21" t="s">
        <v>452</v>
      </c>
      <c r="J21" t="s">
        <v>282</v>
      </c>
      <c r="K21">
        <v>3.1</v>
      </c>
      <c r="L21" t="s">
        <v>111</v>
      </c>
      <c r="M21" t="s">
        <v>111</v>
      </c>
      <c r="N21" t="s">
        <v>148</v>
      </c>
      <c r="O21">
        <v>7.4619999999999997</v>
      </c>
      <c r="P21">
        <v>34.5</v>
      </c>
      <c r="Q21">
        <v>88.7</v>
      </c>
      <c r="R21" t="s">
        <v>117</v>
      </c>
      <c r="S21" t="s">
        <v>117</v>
      </c>
      <c r="T21" t="s">
        <v>453</v>
      </c>
      <c r="U21" t="s">
        <v>192</v>
      </c>
      <c r="V21" t="s">
        <v>454</v>
      </c>
      <c r="W21" t="s">
        <v>455</v>
      </c>
      <c r="X21" t="s">
        <v>456</v>
      </c>
      <c r="Y21" t="s">
        <v>457</v>
      </c>
      <c r="Z21" t="s">
        <v>197</v>
      </c>
      <c r="AA21" t="s">
        <v>111</v>
      </c>
      <c r="AB21" t="s">
        <v>111</v>
      </c>
      <c r="AC21" t="s">
        <v>111</v>
      </c>
      <c r="AD21" t="s">
        <v>111</v>
      </c>
      <c r="AE21" s="53">
        <v>120.8</v>
      </c>
      <c r="AF21" s="34">
        <v>15.4</v>
      </c>
      <c r="AG21" s="34">
        <v>11.8</v>
      </c>
      <c r="AH21" s="34">
        <v>0.95</v>
      </c>
    </row>
    <row r="22" spans="1:34">
      <c r="A22" s="51" t="s">
        <v>102</v>
      </c>
      <c r="B22" s="61" t="s">
        <v>458</v>
      </c>
      <c r="C22" s="49" t="s">
        <v>95</v>
      </c>
      <c r="D22" t="s">
        <v>358</v>
      </c>
      <c r="E22">
        <v>284</v>
      </c>
      <c r="F22" t="s">
        <v>111</v>
      </c>
      <c r="G22" t="s">
        <v>459</v>
      </c>
      <c r="H22" t="s">
        <v>294</v>
      </c>
      <c r="I22" t="s">
        <v>460</v>
      </c>
      <c r="J22" t="s">
        <v>461</v>
      </c>
      <c r="K22">
        <v>3.3</v>
      </c>
      <c r="L22" t="s">
        <v>111</v>
      </c>
      <c r="M22" t="s">
        <v>111</v>
      </c>
      <c r="N22" t="s">
        <v>380</v>
      </c>
      <c r="O22">
        <v>7.5019999999999998</v>
      </c>
      <c r="P22">
        <v>34</v>
      </c>
      <c r="Q22">
        <v>85.8</v>
      </c>
      <c r="R22" t="s">
        <v>128</v>
      </c>
      <c r="S22" t="s">
        <v>134</v>
      </c>
      <c r="T22" t="s">
        <v>462</v>
      </c>
      <c r="U22" t="s">
        <v>120</v>
      </c>
      <c r="V22" t="s">
        <v>463</v>
      </c>
      <c r="W22" t="s">
        <v>464</v>
      </c>
      <c r="X22" t="s">
        <v>465</v>
      </c>
      <c r="Y22" t="s">
        <v>466</v>
      </c>
      <c r="Z22" t="s">
        <v>401</v>
      </c>
      <c r="AA22" t="s">
        <v>126</v>
      </c>
      <c r="AB22" t="s">
        <v>183</v>
      </c>
      <c r="AC22" t="s">
        <v>467</v>
      </c>
      <c r="AD22" t="s">
        <v>118</v>
      </c>
      <c r="AE22" s="53">
        <v>136.6</v>
      </c>
      <c r="AF22" s="34">
        <v>20.5</v>
      </c>
      <c r="AG22" s="34">
        <v>14.4</v>
      </c>
      <c r="AH22" s="34">
        <v>1.1599999999999999</v>
      </c>
    </row>
    <row r="23" spans="1:34">
      <c r="A23" s="51" t="s">
        <v>103</v>
      </c>
      <c r="B23" s="61" t="s">
        <v>468</v>
      </c>
      <c r="C23" s="49" t="s">
        <v>95</v>
      </c>
      <c r="D23" t="s">
        <v>264</v>
      </c>
      <c r="E23">
        <v>293</v>
      </c>
      <c r="F23" t="s">
        <v>111</v>
      </c>
      <c r="G23" t="s">
        <v>469</v>
      </c>
      <c r="H23" t="s">
        <v>470</v>
      </c>
      <c r="I23" t="s">
        <v>471</v>
      </c>
      <c r="J23" t="s">
        <v>472</v>
      </c>
      <c r="K23">
        <v>8.1</v>
      </c>
      <c r="L23" t="s">
        <v>111</v>
      </c>
      <c r="M23" t="s">
        <v>111</v>
      </c>
      <c r="N23" t="s">
        <v>473</v>
      </c>
      <c r="O23">
        <v>7.4950000000000001</v>
      </c>
      <c r="P23">
        <v>34.200000000000003</v>
      </c>
      <c r="Q23">
        <v>81.5</v>
      </c>
      <c r="R23" t="s">
        <v>474</v>
      </c>
      <c r="S23" t="s">
        <v>223</v>
      </c>
      <c r="T23" t="s">
        <v>190</v>
      </c>
      <c r="U23" t="s">
        <v>475</v>
      </c>
      <c r="V23" t="s">
        <v>476</v>
      </c>
      <c r="W23" t="s">
        <v>477</v>
      </c>
      <c r="X23" t="s">
        <v>478</v>
      </c>
      <c r="Y23" t="s">
        <v>479</v>
      </c>
      <c r="Z23" t="s">
        <v>197</v>
      </c>
      <c r="AA23" t="s">
        <v>480</v>
      </c>
      <c r="AB23" t="s">
        <v>111</v>
      </c>
      <c r="AC23" t="s">
        <v>111</v>
      </c>
      <c r="AD23" t="s">
        <v>111</v>
      </c>
      <c r="AE23" s="53">
        <v>127.9</v>
      </c>
      <c r="AF23" s="34">
        <v>11.2</v>
      </c>
      <c r="AG23" s="34">
        <v>13.9</v>
      </c>
      <c r="AH23" s="34">
        <v>1.71</v>
      </c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F25" s="34"/>
      <c r="AG25" s="34"/>
      <c r="AH25" s="34"/>
    </row>
    <row r="26" spans="1:34">
      <c r="A26" s="46"/>
      <c r="B26" s="64"/>
      <c r="C26" s="64"/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</row>
    <row r="27" spans="1:34">
      <c r="A27" s="46"/>
      <c r="B27" s="64"/>
      <c r="C27" s="6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6B8A677-6A99-F64D-9BCF-A91AB15FB76F}">
      <formula1>"incomplete, COMPLETED"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961E-1E19-4D35-B4FF-7E92AC0E05F9}">
  <dimension ref="A1:AZ28"/>
  <sheetViews>
    <sheetView topLeftCell="A5" workbookViewId="0">
      <selection activeCell="B9" sqref="B9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481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1.94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45168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60.5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60.5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8427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0.28125</v>
      </c>
      <c r="C15" s="49" t="s">
        <v>95</v>
      </c>
      <c r="D15" t="s">
        <v>482</v>
      </c>
      <c r="E15">
        <v>257</v>
      </c>
      <c r="F15" t="s">
        <v>111</v>
      </c>
      <c r="G15" t="s">
        <v>483</v>
      </c>
      <c r="H15" t="s">
        <v>394</v>
      </c>
      <c r="I15" t="s">
        <v>484</v>
      </c>
      <c r="J15" t="s">
        <v>433</v>
      </c>
      <c r="K15">
        <v>4.0999999999999996</v>
      </c>
      <c r="L15" t="s">
        <v>111</v>
      </c>
      <c r="M15" t="s">
        <v>111</v>
      </c>
      <c r="N15" t="s">
        <v>485</v>
      </c>
      <c r="O15">
        <v>7.4649999999999999</v>
      </c>
      <c r="P15">
        <v>41.1</v>
      </c>
      <c r="Q15">
        <v>77.7</v>
      </c>
      <c r="R15" t="s">
        <v>238</v>
      </c>
      <c r="S15" t="s">
        <v>345</v>
      </c>
      <c r="T15" t="s">
        <v>462</v>
      </c>
      <c r="U15" t="s">
        <v>240</v>
      </c>
      <c r="V15" t="s">
        <v>486</v>
      </c>
      <c r="W15" t="s">
        <v>191</v>
      </c>
      <c r="X15" t="s">
        <v>487</v>
      </c>
      <c r="Y15" t="s">
        <v>488</v>
      </c>
      <c r="Z15" t="s">
        <v>125</v>
      </c>
      <c r="AA15" t="s">
        <v>262</v>
      </c>
      <c r="AB15" t="s">
        <v>222</v>
      </c>
      <c r="AC15" t="s">
        <v>489</v>
      </c>
      <c r="AD15" t="s">
        <v>223</v>
      </c>
      <c r="AE15" s="53">
        <v>137.6</v>
      </c>
      <c r="AF15" s="34">
        <v>20.9</v>
      </c>
      <c r="AG15" s="34">
        <v>33.299999999999997</v>
      </c>
      <c r="AH15" s="34">
        <v>1.27</v>
      </c>
    </row>
    <row r="16" spans="1:52">
      <c r="A16" s="51" t="s">
        <v>96</v>
      </c>
      <c r="B16" s="61">
        <v>0.37986111111111109</v>
      </c>
      <c r="C16" s="49" t="s">
        <v>95</v>
      </c>
      <c r="D16" t="s">
        <v>490</v>
      </c>
      <c r="E16">
        <v>288</v>
      </c>
      <c r="F16" t="s">
        <v>111</v>
      </c>
      <c r="G16" t="s">
        <v>491</v>
      </c>
      <c r="H16" t="s">
        <v>130</v>
      </c>
      <c r="I16" t="s">
        <v>492</v>
      </c>
      <c r="J16" t="s">
        <v>275</v>
      </c>
      <c r="K16">
        <v>4.3</v>
      </c>
      <c r="L16" t="s">
        <v>111</v>
      </c>
      <c r="M16" t="s">
        <v>111</v>
      </c>
      <c r="N16" t="s">
        <v>493</v>
      </c>
      <c r="O16">
        <v>7.4569999999999999</v>
      </c>
      <c r="P16">
        <v>43.5</v>
      </c>
      <c r="Q16">
        <v>79.099999999999994</v>
      </c>
      <c r="R16" t="s">
        <v>223</v>
      </c>
      <c r="S16" t="s">
        <v>110</v>
      </c>
      <c r="T16" t="s">
        <v>494</v>
      </c>
      <c r="U16" t="s">
        <v>136</v>
      </c>
      <c r="V16" t="s">
        <v>495</v>
      </c>
      <c r="W16" t="s">
        <v>235</v>
      </c>
      <c r="X16" t="s">
        <v>496</v>
      </c>
      <c r="Y16" t="s">
        <v>497</v>
      </c>
      <c r="Z16" t="s">
        <v>257</v>
      </c>
      <c r="AA16" t="s">
        <v>198</v>
      </c>
      <c r="AB16" t="s">
        <v>419</v>
      </c>
      <c r="AC16" t="s">
        <v>498</v>
      </c>
      <c r="AD16" t="s">
        <v>110</v>
      </c>
      <c r="AE16" s="53">
        <v>116.6</v>
      </c>
      <c r="AF16" s="34">
        <v>14.1</v>
      </c>
      <c r="AG16" s="34">
        <v>12.8</v>
      </c>
      <c r="AH16" s="34">
        <v>1.58</v>
      </c>
    </row>
    <row r="17" spans="1:34">
      <c r="A17" s="51" t="s">
        <v>97</v>
      </c>
      <c r="B17" s="73">
        <v>0.38680555555555557</v>
      </c>
      <c r="C17" s="49" t="s">
        <v>95</v>
      </c>
      <c r="D17" t="s">
        <v>359</v>
      </c>
      <c r="E17">
        <v>237</v>
      </c>
      <c r="F17" t="s">
        <v>111</v>
      </c>
      <c r="G17" t="s">
        <v>499</v>
      </c>
      <c r="H17" t="s">
        <v>440</v>
      </c>
      <c r="I17" t="s">
        <v>500</v>
      </c>
      <c r="J17" t="s">
        <v>501</v>
      </c>
      <c r="K17">
        <v>4.3</v>
      </c>
      <c r="L17" t="s">
        <v>111</v>
      </c>
      <c r="M17" t="s">
        <v>111</v>
      </c>
      <c r="N17" t="s">
        <v>186</v>
      </c>
      <c r="O17">
        <v>7.4</v>
      </c>
      <c r="P17">
        <v>45.2</v>
      </c>
      <c r="Q17">
        <v>77</v>
      </c>
      <c r="R17" t="s">
        <v>388</v>
      </c>
      <c r="S17" t="s">
        <v>502</v>
      </c>
      <c r="T17" t="s">
        <v>503</v>
      </c>
      <c r="U17" t="s">
        <v>240</v>
      </c>
      <c r="V17" t="s">
        <v>504</v>
      </c>
      <c r="W17" t="s">
        <v>480</v>
      </c>
      <c r="X17" t="s">
        <v>505</v>
      </c>
      <c r="Y17" t="s">
        <v>506</v>
      </c>
      <c r="Z17" t="s">
        <v>130</v>
      </c>
      <c r="AA17" t="s">
        <v>440</v>
      </c>
      <c r="AB17" t="s">
        <v>507</v>
      </c>
      <c r="AC17" t="s">
        <v>508</v>
      </c>
      <c r="AD17" t="s">
        <v>509</v>
      </c>
      <c r="AE17" s="53">
        <v>111.6</v>
      </c>
      <c r="AF17" s="34">
        <v>21.5</v>
      </c>
      <c r="AG17" s="34">
        <v>14.1</v>
      </c>
      <c r="AH17" s="34">
        <v>1.24</v>
      </c>
    </row>
    <row r="18" spans="1:34">
      <c r="A18" s="65" t="s">
        <v>98</v>
      </c>
      <c r="B18" s="61">
        <v>0.4284722222222222</v>
      </c>
      <c r="C18" s="49" t="s">
        <v>95</v>
      </c>
      <c r="D18" t="s">
        <v>202</v>
      </c>
      <c r="E18">
        <v>262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510</v>
      </c>
      <c r="O18">
        <v>7.4950000000000001</v>
      </c>
      <c r="P18">
        <v>41.2</v>
      </c>
      <c r="Q18">
        <v>82.4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>
        <v>0.47013888888888888</v>
      </c>
      <c r="C19" s="49" t="s">
        <v>95</v>
      </c>
      <c r="D19" t="s">
        <v>153</v>
      </c>
      <c r="E19">
        <v>217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511</v>
      </c>
      <c r="O19">
        <v>7.4489999999999998</v>
      </c>
      <c r="P19">
        <v>34.5</v>
      </c>
      <c r="Q19">
        <v>81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>
        <v>0.51180555555555551</v>
      </c>
      <c r="C20" s="49" t="s">
        <v>95</v>
      </c>
      <c r="D20" t="s">
        <v>512</v>
      </c>
      <c r="E20">
        <v>264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513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>
        <v>119.6</v>
      </c>
      <c r="AF20" s="34">
        <v>17.3</v>
      </c>
      <c r="AG20" s="34">
        <v>38.799999999999997</v>
      </c>
      <c r="AH20" s="34">
        <v>1.38</v>
      </c>
    </row>
    <row r="21" spans="1:34">
      <c r="A21" s="51" t="s">
        <v>101</v>
      </c>
      <c r="B21" s="61">
        <v>0.51875000000000004</v>
      </c>
      <c r="C21" s="49" t="s">
        <v>95</v>
      </c>
      <c r="D21" t="s">
        <v>118</v>
      </c>
      <c r="E21">
        <v>283</v>
      </c>
      <c r="F21" t="s">
        <v>111</v>
      </c>
      <c r="G21" t="s">
        <v>514</v>
      </c>
      <c r="H21" t="s">
        <v>174</v>
      </c>
      <c r="I21" t="s">
        <v>172</v>
      </c>
      <c r="J21" t="s">
        <v>453</v>
      </c>
      <c r="K21">
        <v>5.4</v>
      </c>
      <c r="L21" t="s">
        <v>111</v>
      </c>
      <c r="M21" t="s">
        <v>111</v>
      </c>
      <c r="N21" t="s">
        <v>149</v>
      </c>
      <c r="O21" s="74">
        <v>7.48</v>
      </c>
      <c r="P21">
        <v>35.4</v>
      </c>
      <c r="Q21">
        <v>89.8</v>
      </c>
      <c r="R21" t="s">
        <v>378</v>
      </c>
      <c r="S21" t="s">
        <v>118</v>
      </c>
      <c r="T21" t="s">
        <v>515</v>
      </c>
      <c r="U21" t="s">
        <v>136</v>
      </c>
      <c r="V21" t="s">
        <v>516</v>
      </c>
      <c r="W21" t="s">
        <v>517</v>
      </c>
      <c r="X21" t="s">
        <v>518</v>
      </c>
      <c r="Y21" t="s">
        <v>519</v>
      </c>
      <c r="Z21" t="s">
        <v>183</v>
      </c>
      <c r="AA21" t="s">
        <v>111</v>
      </c>
      <c r="AB21" t="s">
        <v>111</v>
      </c>
      <c r="AC21" t="s">
        <v>111</v>
      </c>
      <c r="AD21" t="s">
        <v>111</v>
      </c>
      <c r="AE21" s="53">
        <v>111.3</v>
      </c>
      <c r="AF21" s="34">
        <v>19.3</v>
      </c>
      <c r="AG21" s="34">
        <v>15.3</v>
      </c>
      <c r="AH21" s="34">
        <v>1.0900000000000001</v>
      </c>
    </row>
    <row r="22" spans="1:34">
      <c r="A22" s="51" t="s">
        <v>102</v>
      </c>
      <c r="B22" s="61">
        <v>0.56041666666666667</v>
      </c>
      <c r="C22" s="49" t="s">
        <v>95</v>
      </c>
      <c r="D22" t="s">
        <v>490</v>
      </c>
      <c r="E22">
        <v>281</v>
      </c>
      <c r="F22" t="s">
        <v>111</v>
      </c>
      <c r="G22" t="s">
        <v>520</v>
      </c>
      <c r="H22" t="s">
        <v>165</v>
      </c>
      <c r="I22" t="s">
        <v>521</v>
      </c>
      <c r="J22" t="s">
        <v>364</v>
      </c>
      <c r="K22">
        <v>6</v>
      </c>
      <c r="L22" t="s">
        <v>111</v>
      </c>
      <c r="M22" t="s">
        <v>111</v>
      </c>
      <c r="N22" t="s">
        <v>222</v>
      </c>
      <c r="O22">
        <v>7.468</v>
      </c>
      <c r="P22">
        <v>36.299999999999997</v>
      </c>
      <c r="Q22">
        <v>81.599999999999994</v>
      </c>
      <c r="R22" t="s">
        <v>522</v>
      </c>
      <c r="S22" t="s">
        <v>378</v>
      </c>
      <c r="T22" t="s">
        <v>251</v>
      </c>
      <c r="U22" t="s">
        <v>178</v>
      </c>
      <c r="V22" t="s">
        <v>523</v>
      </c>
      <c r="W22" t="s">
        <v>235</v>
      </c>
      <c r="X22" t="s">
        <v>524</v>
      </c>
      <c r="Y22" t="s">
        <v>525</v>
      </c>
      <c r="Z22" t="s">
        <v>183</v>
      </c>
      <c r="AA22" t="s">
        <v>513</v>
      </c>
      <c r="AB22" t="s">
        <v>448</v>
      </c>
      <c r="AC22" t="s">
        <v>526</v>
      </c>
      <c r="AD22" t="s">
        <v>118</v>
      </c>
      <c r="AE22" s="34">
        <v>110.9</v>
      </c>
      <c r="AF22" s="34">
        <v>10.3</v>
      </c>
      <c r="AG22" s="34">
        <v>18.2</v>
      </c>
      <c r="AH22" s="34">
        <v>3.08</v>
      </c>
    </row>
    <row r="23" spans="1:34">
      <c r="A23" s="51" t="s">
        <v>103</v>
      </c>
      <c r="B23" s="61">
        <v>0.38680555555555557</v>
      </c>
      <c r="C23" s="49" t="s">
        <v>95</v>
      </c>
      <c r="E23">
        <v>285</v>
      </c>
      <c r="F23" t="s">
        <v>111</v>
      </c>
      <c r="G23" t="s">
        <v>527</v>
      </c>
      <c r="H23" t="s">
        <v>528</v>
      </c>
      <c r="I23" t="s">
        <v>168</v>
      </c>
      <c r="J23" t="s">
        <v>453</v>
      </c>
      <c r="K23">
        <v>7.8</v>
      </c>
      <c r="L23" t="s">
        <v>111</v>
      </c>
      <c r="M23" t="s">
        <v>111</v>
      </c>
      <c r="N23" t="s">
        <v>143</v>
      </c>
      <c r="O23">
        <v>7.47</v>
      </c>
      <c r="P23">
        <v>35.9</v>
      </c>
      <c r="Q23">
        <v>82.7</v>
      </c>
      <c r="R23" t="s">
        <v>201</v>
      </c>
      <c r="S23" t="s">
        <v>201</v>
      </c>
      <c r="T23" t="s">
        <v>529</v>
      </c>
      <c r="U23" t="s">
        <v>192</v>
      </c>
      <c r="V23" t="s">
        <v>530</v>
      </c>
      <c r="W23" t="s">
        <v>531</v>
      </c>
      <c r="X23" t="s">
        <v>532</v>
      </c>
      <c r="Y23" t="s">
        <v>533</v>
      </c>
      <c r="Z23" t="s">
        <v>257</v>
      </c>
      <c r="AA23" t="s">
        <v>238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5B8F4382-D043-4E46-86A5-AB9EC53CB69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6135-CDBF-4966-95C1-1243739CBCD5}">
  <dimension ref="A1:AZ28"/>
  <sheetViews>
    <sheetView topLeftCell="A5" workbookViewId="0">
      <selection activeCell="E19" sqref="E19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534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1.8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45168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56.7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56.7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8532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535</v>
      </c>
      <c r="C15" s="49" t="s">
        <v>95</v>
      </c>
      <c r="D15" t="s">
        <v>291</v>
      </c>
      <c r="E15">
        <v>249</v>
      </c>
      <c r="F15" t="s">
        <v>111</v>
      </c>
      <c r="G15" t="s">
        <v>440</v>
      </c>
      <c r="H15" t="s">
        <v>416</v>
      </c>
      <c r="I15" t="s">
        <v>536</v>
      </c>
      <c r="J15" t="s">
        <v>138</v>
      </c>
      <c r="K15">
        <v>4.5999999999999996</v>
      </c>
      <c r="L15" t="s">
        <v>111</v>
      </c>
      <c r="M15" t="s">
        <v>111</v>
      </c>
      <c r="N15" t="s">
        <v>143</v>
      </c>
      <c r="O15">
        <v>7.4630000000000001</v>
      </c>
      <c r="P15">
        <v>37.1</v>
      </c>
      <c r="Q15">
        <v>83</v>
      </c>
      <c r="R15" t="s">
        <v>128</v>
      </c>
      <c r="S15" t="s">
        <v>118</v>
      </c>
      <c r="T15" t="s">
        <v>537</v>
      </c>
      <c r="U15" t="s">
        <v>240</v>
      </c>
      <c r="V15" t="s">
        <v>538</v>
      </c>
      <c r="W15" t="s">
        <v>539</v>
      </c>
      <c r="X15" t="s">
        <v>540</v>
      </c>
      <c r="Y15" t="s">
        <v>541</v>
      </c>
      <c r="Z15" t="s">
        <v>215</v>
      </c>
      <c r="AA15" t="s">
        <v>542</v>
      </c>
      <c r="AB15" t="s">
        <v>473</v>
      </c>
      <c r="AC15" t="s">
        <v>543</v>
      </c>
      <c r="AD15" t="s">
        <v>544</v>
      </c>
      <c r="AE15" s="53">
        <v>141.1</v>
      </c>
      <c r="AF15" s="34">
        <v>18.8</v>
      </c>
      <c r="AG15" s="34">
        <v>24.2</v>
      </c>
      <c r="AH15" s="34">
        <v>1.1399999999999999</v>
      </c>
    </row>
    <row r="16" spans="1:52">
      <c r="A16" s="51" t="s">
        <v>96</v>
      </c>
      <c r="B16" s="61" t="s">
        <v>545</v>
      </c>
      <c r="C16" s="49" t="s">
        <v>95</v>
      </c>
      <c r="D16" t="s">
        <v>546</v>
      </c>
      <c r="E16">
        <v>226</v>
      </c>
      <c r="F16" t="s">
        <v>111</v>
      </c>
      <c r="G16" t="s">
        <v>547</v>
      </c>
      <c r="H16" t="s">
        <v>542</v>
      </c>
      <c r="I16" t="s">
        <v>548</v>
      </c>
      <c r="J16" t="s">
        <v>549</v>
      </c>
      <c r="K16">
        <v>5.4</v>
      </c>
      <c r="L16" t="s">
        <v>111</v>
      </c>
      <c r="M16" t="s">
        <v>111</v>
      </c>
      <c r="N16" t="s">
        <v>297</v>
      </c>
      <c r="O16">
        <v>7.3849999999999998</v>
      </c>
      <c r="P16">
        <v>32.799999999999997</v>
      </c>
      <c r="Q16">
        <v>98.6</v>
      </c>
      <c r="R16" t="s">
        <v>350</v>
      </c>
      <c r="S16" t="s">
        <v>128</v>
      </c>
      <c r="T16" t="s">
        <v>418</v>
      </c>
      <c r="U16" t="s">
        <v>136</v>
      </c>
      <c r="V16" t="s">
        <v>550</v>
      </c>
      <c r="W16" t="s">
        <v>352</v>
      </c>
      <c r="X16" t="s">
        <v>551</v>
      </c>
      <c r="Y16" t="s">
        <v>552</v>
      </c>
      <c r="Z16" t="s">
        <v>142</v>
      </c>
      <c r="AA16" t="s">
        <v>436</v>
      </c>
      <c r="AB16" t="s">
        <v>143</v>
      </c>
      <c r="AC16" t="s">
        <v>426</v>
      </c>
      <c r="AD16" t="s">
        <v>553</v>
      </c>
      <c r="AE16" s="53">
        <v>39.9</v>
      </c>
      <c r="AF16" s="34">
        <v>15.1</v>
      </c>
      <c r="AG16" s="34">
        <v>25.2</v>
      </c>
      <c r="AH16" s="34">
        <v>1.65</v>
      </c>
    </row>
    <row r="17" spans="1:34">
      <c r="A17" s="51" t="s">
        <v>97</v>
      </c>
      <c r="B17" s="61" t="s">
        <v>554</v>
      </c>
      <c r="C17" s="49" t="s">
        <v>95</v>
      </c>
      <c r="D17" t="s">
        <v>512</v>
      </c>
      <c r="E17">
        <v>224</v>
      </c>
      <c r="F17" t="s">
        <v>111</v>
      </c>
      <c r="G17" t="s">
        <v>555</v>
      </c>
      <c r="H17" t="s">
        <v>556</v>
      </c>
      <c r="I17" t="s">
        <v>557</v>
      </c>
      <c r="J17" t="s">
        <v>558</v>
      </c>
      <c r="K17">
        <v>5.3</v>
      </c>
      <c r="L17" t="s">
        <v>111</v>
      </c>
      <c r="M17" t="s">
        <v>111</v>
      </c>
      <c r="N17" t="s">
        <v>295</v>
      </c>
      <c r="O17">
        <v>7.306</v>
      </c>
      <c r="P17">
        <v>38.4</v>
      </c>
      <c r="Q17">
        <v>99.9</v>
      </c>
      <c r="R17" t="s">
        <v>559</v>
      </c>
      <c r="S17" t="s">
        <v>117</v>
      </c>
      <c r="T17" t="s">
        <v>560</v>
      </c>
      <c r="U17" t="s">
        <v>136</v>
      </c>
      <c r="V17" t="s">
        <v>561</v>
      </c>
      <c r="W17" t="s">
        <v>562</v>
      </c>
      <c r="X17" t="s">
        <v>563</v>
      </c>
      <c r="Y17" t="s">
        <v>564</v>
      </c>
      <c r="Z17" t="s">
        <v>183</v>
      </c>
      <c r="AA17" t="s">
        <v>513</v>
      </c>
      <c r="AB17" t="s">
        <v>485</v>
      </c>
      <c r="AC17" t="s">
        <v>565</v>
      </c>
      <c r="AD17" t="s">
        <v>566</v>
      </c>
      <c r="AE17" s="53">
        <v>128.9</v>
      </c>
      <c r="AF17" s="34">
        <v>17.5</v>
      </c>
      <c r="AG17" s="34">
        <v>14.2</v>
      </c>
      <c r="AH17" s="34">
        <v>1.0900000000000001</v>
      </c>
    </row>
    <row r="18" spans="1:34">
      <c r="A18" s="65" t="s">
        <v>98</v>
      </c>
      <c r="B18" s="61" t="s">
        <v>567</v>
      </c>
      <c r="C18" s="49" t="s">
        <v>95</v>
      </c>
      <c r="D18" t="s">
        <v>272</v>
      </c>
      <c r="E18">
        <v>275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568</v>
      </c>
      <c r="O18">
        <v>7.4580000000000002</v>
      </c>
      <c r="P18">
        <v>32.9</v>
      </c>
      <c r="Q18">
        <v>103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 t="s">
        <v>569</v>
      </c>
      <c r="C19" s="49" t="s">
        <v>95</v>
      </c>
      <c r="D19" t="s">
        <v>559</v>
      </c>
      <c r="E19">
        <v>266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513</v>
      </c>
      <c r="O19">
        <v>7.5039999999999996</v>
      </c>
      <c r="P19">
        <v>26.1</v>
      </c>
      <c r="Q19">
        <v>124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570</v>
      </c>
      <c r="C20" s="49" t="s">
        <v>95</v>
      </c>
      <c r="D20" t="s">
        <v>279</v>
      </c>
      <c r="E20">
        <v>278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571</v>
      </c>
      <c r="O20">
        <v>7.4870000000000001</v>
      </c>
      <c r="P20">
        <v>28</v>
      </c>
      <c r="Q20">
        <v>103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572</v>
      </c>
      <c r="C21" s="49" t="s">
        <v>95</v>
      </c>
      <c r="D21" t="s">
        <v>279</v>
      </c>
      <c r="E21">
        <v>279</v>
      </c>
      <c r="F21" t="s">
        <v>111</v>
      </c>
      <c r="G21" t="s">
        <v>547</v>
      </c>
      <c r="H21" t="s">
        <v>198</v>
      </c>
      <c r="I21" t="s">
        <v>573</v>
      </c>
      <c r="J21" t="s">
        <v>377</v>
      </c>
      <c r="K21">
        <v>5.9</v>
      </c>
      <c r="L21" t="s">
        <v>111</v>
      </c>
      <c r="M21" t="s">
        <v>111</v>
      </c>
      <c r="N21" t="s">
        <v>574</v>
      </c>
      <c r="O21">
        <v>7.4829999999999997</v>
      </c>
      <c r="P21">
        <v>28.1</v>
      </c>
      <c r="Q21">
        <v>158</v>
      </c>
      <c r="R21" t="s">
        <v>575</v>
      </c>
      <c r="S21" t="s">
        <v>153</v>
      </c>
      <c r="T21" t="s">
        <v>576</v>
      </c>
      <c r="U21" t="s">
        <v>136</v>
      </c>
      <c r="V21" t="s">
        <v>577</v>
      </c>
      <c r="W21" t="s">
        <v>477</v>
      </c>
      <c r="X21" t="s">
        <v>578</v>
      </c>
      <c r="Y21" t="s">
        <v>579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53">
        <v>134.30000000000001</v>
      </c>
      <c r="AF21" s="34">
        <v>21.9</v>
      </c>
      <c r="AG21" s="34">
        <v>17.600000000000001</v>
      </c>
      <c r="AH21" s="34">
        <v>1.2</v>
      </c>
    </row>
    <row r="22" spans="1:34">
      <c r="A22" s="51" t="s">
        <v>102</v>
      </c>
      <c r="B22" s="61" t="s">
        <v>580</v>
      </c>
      <c r="C22" s="49" t="s">
        <v>95</v>
      </c>
      <c r="D22" t="s">
        <v>366</v>
      </c>
      <c r="E22">
        <v>279</v>
      </c>
      <c r="F22" t="s">
        <v>111</v>
      </c>
      <c r="G22" t="s">
        <v>581</v>
      </c>
      <c r="H22" t="s">
        <v>198</v>
      </c>
      <c r="I22" t="s">
        <v>582</v>
      </c>
      <c r="J22" t="s">
        <v>583</v>
      </c>
      <c r="K22">
        <v>6.8</v>
      </c>
      <c r="L22" t="s">
        <v>111</v>
      </c>
      <c r="M22" t="s">
        <v>111</v>
      </c>
      <c r="N22" t="s">
        <v>584</v>
      </c>
      <c r="O22">
        <v>7.5010000000000003</v>
      </c>
      <c r="P22">
        <v>30.6</v>
      </c>
      <c r="Q22">
        <v>90</v>
      </c>
      <c r="R22" t="s">
        <v>585</v>
      </c>
      <c r="S22" t="s">
        <v>279</v>
      </c>
      <c r="T22" t="s">
        <v>586</v>
      </c>
      <c r="U22" t="s">
        <v>380</v>
      </c>
      <c r="V22" t="s">
        <v>587</v>
      </c>
      <c r="W22" t="s">
        <v>588</v>
      </c>
      <c r="X22" t="s">
        <v>589</v>
      </c>
      <c r="Y22" t="s">
        <v>590</v>
      </c>
      <c r="Z22" t="s">
        <v>401</v>
      </c>
      <c r="AA22" t="s">
        <v>591</v>
      </c>
      <c r="AB22" t="s">
        <v>199</v>
      </c>
      <c r="AC22" t="s">
        <v>526</v>
      </c>
      <c r="AD22" t="s">
        <v>592</v>
      </c>
      <c r="AE22" s="34">
        <v>131.6</v>
      </c>
      <c r="AF22" s="34">
        <v>15.7</v>
      </c>
      <c r="AG22" s="34">
        <v>18.3</v>
      </c>
      <c r="AH22" s="34">
        <v>1.35</v>
      </c>
    </row>
    <row r="23" spans="1:34">
      <c r="A23" s="51" t="s">
        <v>103</v>
      </c>
      <c r="B23" s="61" t="s">
        <v>554</v>
      </c>
      <c r="C23" s="49" t="s">
        <v>95</v>
      </c>
      <c r="D23" t="s">
        <v>271</v>
      </c>
      <c r="E23">
        <v>287</v>
      </c>
      <c r="F23" t="s">
        <v>111</v>
      </c>
      <c r="G23" t="s">
        <v>593</v>
      </c>
      <c r="H23" t="s">
        <v>189</v>
      </c>
      <c r="I23" t="s">
        <v>594</v>
      </c>
      <c r="J23" t="s">
        <v>251</v>
      </c>
      <c r="K23">
        <v>7.8</v>
      </c>
      <c r="L23" t="s">
        <v>111</v>
      </c>
      <c r="M23" t="s">
        <v>111</v>
      </c>
      <c r="N23" t="s">
        <v>222</v>
      </c>
      <c r="O23">
        <v>7.47</v>
      </c>
      <c r="P23">
        <v>36</v>
      </c>
      <c r="Q23">
        <v>78.099999999999994</v>
      </c>
      <c r="R23" t="s">
        <v>595</v>
      </c>
      <c r="S23" t="s">
        <v>596</v>
      </c>
      <c r="T23" t="s">
        <v>597</v>
      </c>
      <c r="U23" t="s">
        <v>240</v>
      </c>
      <c r="V23" t="s">
        <v>598</v>
      </c>
      <c r="W23" t="s">
        <v>285</v>
      </c>
      <c r="X23" t="s">
        <v>599</v>
      </c>
      <c r="Y23" t="s">
        <v>600</v>
      </c>
      <c r="Z23" t="s">
        <v>401</v>
      </c>
      <c r="AA23" t="s">
        <v>601</v>
      </c>
      <c r="AB23" t="s">
        <v>111</v>
      </c>
      <c r="AC23" t="s">
        <v>111</v>
      </c>
      <c r="AD23" t="s">
        <v>602</v>
      </c>
      <c r="AE23" s="34">
        <v>123.9</v>
      </c>
      <c r="AF23" s="34">
        <v>7.5</v>
      </c>
      <c r="AG23" s="34">
        <v>21.3</v>
      </c>
      <c r="AH23" s="34">
        <v>3.59</v>
      </c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FD08C00-78BF-455C-864F-D6AFF2E96B4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F0F-E126-4776-BDB0-9EADCA34BF1A}">
  <dimension ref="A1:AZ28"/>
  <sheetViews>
    <sheetView topLeftCell="A3" workbookViewId="0">
      <selection activeCell="B10" sqref="B10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603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1.66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 t="s">
        <v>604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58.1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58.1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8427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0.33333333333333331</v>
      </c>
      <c r="C15" s="49" t="s">
        <v>95</v>
      </c>
      <c r="D15" t="s">
        <v>345</v>
      </c>
      <c r="E15">
        <v>297</v>
      </c>
      <c r="F15" t="s">
        <v>111</v>
      </c>
      <c r="G15" t="s">
        <v>605</v>
      </c>
      <c r="H15" t="s">
        <v>606</v>
      </c>
      <c r="I15" t="s">
        <v>607</v>
      </c>
      <c r="J15" t="s">
        <v>608</v>
      </c>
      <c r="K15">
        <v>3.9</v>
      </c>
      <c r="L15" t="s">
        <v>111</v>
      </c>
      <c r="M15" t="s">
        <v>111</v>
      </c>
      <c r="N15" t="s">
        <v>143</v>
      </c>
      <c r="O15">
        <v>7.49</v>
      </c>
      <c r="P15">
        <v>32.799999999999997</v>
      </c>
      <c r="Q15">
        <v>87.1</v>
      </c>
      <c r="R15" t="s">
        <v>609</v>
      </c>
      <c r="S15" t="s">
        <v>610</v>
      </c>
      <c r="T15" t="s">
        <v>611</v>
      </c>
      <c r="U15" t="s">
        <v>136</v>
      </c>
      <c r="V15" t="s">
        <v>612</v>
      </c>
      <c r="W15" t="s">
        <v>613</v>
      </c>
      <c r="X15" t="s">
        <v>614</v>
      </c>
      <c r="Y15" t="s">
        <v>615</v>
      </c>
      <c r="Z15" t="s">
        <v>401</v>
      </c>
      <c r="AA15" t="s">
        <v>198</v>
      </c>
      <c r="AB15" t="s">
        <v>473</v>
      </c>
      <c r="AC15" t="s">
        <v>616</v>
      </c>
      <c r="AD15" t="s">
        <v>617</v>
      </c>
      <c r="AE15" s="53">
        <v>115.1</v>
      </c>
      <c r="AF15" s="34">
        <v>17.100000000000001</v>
      </c>
      <c r="AG15" s="34">
        <v>27.5</v>
      </c>
      <c r="AH15" s="34">
        <v>1.18</v>
      </c>
    </row>
    <row r="16" spans="1:52">
      <c r="A16" s="51" t="s">
        <v>96</v>
      </c>
      <c r="B16" s="61">
        <v>0.45833333333333331</v>
      </c>
      <c r="C16" s="49" t="s">
        <v>95</v>
      </c>
      <c r="D16" t="s">
        <v>430</v>
      </c>
      <c r="E16">
        <v>296</v>
      </c>
      <c r="F16" t="s">
        <v>111</v>
      </c>
      <c r="G16" t="s">
        <v>618</v>
      </c>
      <c r="H16" t="s">
        <v>511</v>
      </c>
      <c r="I16" t="s">
        <v>619</v>
      </c>
      <c r="J16" t="s">
        <v>235</v>
      </c>
      <c r="K16">
        <v>3.1</v>
      </c>
      <c r="L16" t="s">
        <v>111</v>
      </c>
      <c r="M16" t="s">
        <v>111</v>
      </c>
      <c r="N16" t="s">
        <v>620</v>
      </c>
      <c r="O16">
        <v>7.2080000000000002</v>
      </c>
      <c r="P16">
        <v>23.3</v>
      </c>
      <c r="Q16">
        <v>111</v>
      </c>
      <c r="R16" t="s">
        <v>621</v>
      </c>
      <c r="S16" t="s">
        <v>482</v>
      </c>
      <c r="T16" t="s">
        <v>622</v>
      </c>
      <c r="U16" t="s">
        <v>178</v>
      </c>
      <c r="V16" t="s">
        <v>623</v>
      </c>
      <c r="W16" t="s">
        <v>462</v>
      </c>
      <c r="X16" t="s">
        <v>624</v>
      </c>
      <c r="Y16" t="s">
        <v>625</v>
      </c>
      <c r="Z16" t="s">
        <v>142</v>
      </c>
      <c r="AA16" t="s">
        <v>189</v>
      </c>
      <c r="AB16" t="s">
        <v>111</v>
      </c>
      <c r="AC16" t="s">
        <v>111</v>
      </c>
      <c r="AD16" t="s">
        <v>626</v>
      </c>
      <c r="AE16" s="53">
        <v>117.6</v>
      </c>
      <c r="AF16" s="34">
        <v>21.8</v>
      </c>
      <c r="AG16" s="34"/>
      <c r="AH16" s="34">
        <v>2.02</v>
      </c>
    </row>
    <row r="17" spans="1:34">
      <c r="A17" s="51" t="s">
        <v>97</v>
      </c>
      <c r="B17" s="61">
        <v>0.46527777777777779</v>
      </c>
      <c r="C17" s="49" t="s">
        <v>95</v>
      </c>
      <c r="D17" t="s">
        <v>378</v>
      </c>
      <c r="E17">
        <v>279</v>
      </c>
      <c r="F17" t="s">
        <v>111</v>
      </c>
      <c r="G17" t="s">
        <v>627</v>
      </c>
      <c r="H17" t="s">
        <v>493</v>
      </c>
      <c r="I17" t="s">
        <v>474</v>
      </c>
      <c r="J17" t="s">
        <v>480</v>
      </c>
      <c r="K17">
        <v>4.7</v>
      </c>
      <c r="L17" t="s">
        <v>111</v>
      </c>
      <c r="M17" t="s">
        <v>111</v>
      </c>
      <c r="N17" t="s">
        <v>376</v>
      </c>
      <c r="O17">
        <v>7.2009999999999996</v>
      </c>
      <c r="P17">
        <v>23.4</v>
      </c>
      <c r="Q17">
        <v>113</v>
      </c>
      <c r="R17" t="s">
        <v>628</v>
      </c>
      <c r="S17" t="s">
        <v>279</v>
      </c>
      <c r="T17" t="s">
        <v>629</v>
      </c>
      <c r="U17" t="s">
        <v>475</v>
      </c>
      <c r="V17" t="s">
        <v>630</v>
      </c>
      <c r="W17" t="s">
        <v>631</v>
      </c>
      <c r="X17" t="s">
        <v>632</v>
      </c>
      <c r="Y17" t="s">
        <v>633</v>
      </c>
      <c r="Z17" t="s">
        <v>142</v>
      </c>
      <c r="AA17" t="s">
        <v>186</v>
      </c>
      <c r="AB17" t="s">
        <v>634</v>
      </c>
      <c r="AC17" t="s">
        <v>626</v>
      </c>
      <c r="AD17" t="s">
        <v>635</v>
      </c>
      <c r="AE17" s="53"/>
      <c r="AF17" s="34">
        <v>30.2</v>
      </c>
      <c r="AG17" s="34">
        <v>93.5</v>
      </c>
      <c r="AH17" s="34">
        <v>1.34</v>
      </c>
    </row>
    <row r="18" spans="1:34">
      <c r="A18" s="65" t="s">
        <v>98</v>
      </c>
      <c r="B18" s="61">
        <v>0.50694444444444442</v>
      </c>
      <c r="C18" s="49" t="s">
        <v>95</v>
      </c>
      <c r="D18" t="s">
        <v>279</v>
      </c>
      <c r="E18">
        <v>297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297</v>
      </c>
      <c r="O18">
        <v>7.41</v>
      </c>
      <c r="P18">
        <v>27.1</v>
      </c>
      <c r="Q18">
        <v>101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>
        <v>0.54861111111111116</v>
      </c>
      <c r="C19" s="49" t="s">
        <v>95</v>
      </c>
      <c r="D19" t="s">
        <v>350</v>
      </c>
      <c r="E19">
        <v>298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636</v>
      </c>
      <c r="O19">
        <v>7.3719999999999999</v>
      </c>
      <c r="P19">
        <v>27.8</v>
      </c>
      <c r="Q19">
        <v>103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637</v>
      </c>
      <c r="C20" s="49" t="s">
        <v>95</v>
      </c>
      <c r="D20" t="s">
        <v>366</v>
      </c>
      <c r="E20">
        <v>288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265</v>
      </c>
      <c r="O20">
        <v>7.3449999999999998</v>
      </c>
      <c r="P20">
        <v>26.7</v>
      </c>
      <c r="Q20">
        <v>105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638</v>
      </c>
      <c r="C21" s="49" t="s">
        <v>95</v>
      </c>
      <c r="D21" t="s">
        <v>175</v>
      </c>
      <c r="E21">
        <v>298</v>
      </c>
      <c r="F21" t="s">
        <v>111</v>
      </c>
      <c r="G21" t="s">
        <v>639</v>
      </c>
      <c r="H21" t="s">
        <v>165</v>
      </c>
      <c r="I21" t="s">
        <v>452</v>
      </c>
      <c r="J21" t="s">
        <v>640</v>
      </c>
      <c r="K21">
        <v>4.3</v>
      </c>
      <c r="L21" t="s">
        <v>111</v>
      </c>
      <c r="M21" t="s">
        <v>111</v>
      </c>
      <c r="N21" t="s">
        <v>641</v>
      </c>
      <c r="O21">
        <v>7.3849999999999998</v>
      </c>
      <c r="P21">
        <v>30</v>
      </c>
      <c r="Q21">
        <v>98.2</v>
      </c>
      <c r="R21" t="s">
        <v>642</v>
      </c>
      <c r="S21" t="s">
        <v>201</v>
      </c>
      <c r="T21" t="s">
        <v>643</v>
      </c>
      <c r="U21" t="s">
        <v>301</v>
      </c>
      <c r="V21" t="s">
        <v>644</v>
      </c>
      <c r="W21" t="s">
        <v>251</v>
      </c>
      <c r="X21" t="s">
        <v>645</v>
      </c>
      <c r="Y21" t="s">
        <v>646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53"/>
      <c r="AF21" s="34">
        <v>32.799999999999997</v>
      </c>
      <c r="AG21" s="34"/>
      <c r="AH21" s="34">
        <v>1.26</v>
      </c>
    </row>
    <row r="22" spans="1:34">
      <c r="A22" s="51" t="s">
        <v>102</v>
      </c>
      <c r="B22" s="61" t="s">
        <v>647</v>
      </c>
      <c r="C22" s="49" t="s">
        <v>95</v>
      </c>
      <c r="D22" t="s">
        <v>396</v>
      </c>
      <c r="E22">
        <v>185</v>
      </c>
      <c r="F22" t="s">
        <v>111</v>
      </c>
      <c r="G22" t="s">
        <v>648</v>
      </c>
      <c r="H22" t="s">
        <v>511</v>
      </c>
      <c r="I22" t="s">
        <v>521</v>
      </c>
      <c r="J22" t="s">
        <v>631</v>
      </c>
      <c r="K22">
        <v>4.5</v>
      </c>
      <c r="L22" t="s">
        <v>111</v>
      </c>
      <c r="M22" t="s">
        <v>111</v>
      </c>
      <c r="N22" t="s">
        <v>130</v>
      </c>
      <c r="O22">
        <v>7.46</v>
      </c>
      <c r="P22">
        <v>27.3</v>
      </c>
      <c r="Q22">
        <v>94</v>
      </c>
      <c r="R22" t="s">
        <v>649</v>
      </c>
      <c r="S22" t="s">
        <v>154</v>
      </c>
      <c r="T22" t="s">
        <v>650</v>
      </c>
      <c r="U22" t="s">
        <v>380</v>
      </c>
      <c r="V22" t="s">
        <v>651</v>
      </c>
      <c r="W22" t="s">
        <v>652</v>
      </c>
      <c r="X22" t="s">
        <v>653</v>
      </c>
      <c r="Y22" t="s">
        <v>654</v>
      </c>
      <c r="Z22" t="s">
        <v>401</v>
      </c>
      <c r="AA22" t="s">
        <v>295</v>
      </c>
      <c r="AB22" t="s">
        <v>111</v>
      </c>
      <c r="AC22" t="s">
        <v>111</v>
      </c>
      <c r="AD22" t="s">
        <v>111</v>
      </c>
      <c r="AE22" s="34"/>
      <c r="AF22" s="34">
        <v>100</v>
      </c>
      <c r="AG22" s="34"/>
      <c r="AH22" s="34">
        <v>0.55000000000000004</v>
      </c>
    </row>
    <row r="23" spans="1:34">
      <c r="A23" s="51" t="s">
        <v>103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58AA6AAF-CDE7-40C0-BB29-7255047E9FF3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91BC-A9C0-486F-ADA3-DB6D09661968}">
  <dimension ref="A1:AZ28"/>
  <sheetViews>
    <sheetView topLeftCell="C6" workbookViewId="0">
      <selection activeCell="E21" sqref="E21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655</v>
      </c>
      <c r="C4" s="81"/>
      <c r="D4" s="42"/>
      <c r="E4" s="41" t="s">
        <v>4</v>
      </c>
      <c r="F4" s="92" t="s">
        <v>656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1.82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45177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57.33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57.33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8535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657</v>
      </c>
      <c r="C15" s="49" t="s">
        <v>95</v>
      </c>
      <c r="D15" t="s">
        <v>610</v>
      </c>
      <c r="E15">
        <v>268</v>
      </c>
      <c r="F15" t="s">
        <v>111</v>
      </c>
      <c r="G15" t="s">
        <v>218</v>
      </c>
      <c r="H15" t="s">
        <v>219</v>
      </c>
      <c r="I15" t="s">
        <v>133</v>
      </c>
      <c r="J15" t="s">
        <v>658</v>
      </c>
      <c r="K15" t="s">
        <v>111</v>
      </c>
      <c r="L15" t="s">
        <v>111</v>
      </c>
      <c r="M15" t="s">
        <v>111</v>
      </c>
      <c r="N15" t="s">
        <v>401</v>
      </c>
      <c r="O15">
        <v>7.5220000000000002</v>
      </c>
      <c r="P15">
        <v>37.5</v>
      </c>
      <c r="Q15">
        <v>78.8</v>
      </c>
      <c r="R15" t="s">
        <v>659</v>
      </c>
      <c r="S15" t="s">
        <v>133</v>
      </c>
      <c r="T15" t="s">
        <v>660</v>
      </c>
      <c r="U15" t="s">
        <v>192</v>
      </c>
      <c r="V15" t="s">
        <v>661</v>
      </c>
      <c r="W15" t="s">
        <v>662</v>
      </c>
      <c r="X15" t="s">
        <v>663</v>
      </c>
      <c r="Y15" t="s">
        <v>664</v>
      </c>
      <c r="Z15" t="s">
        <v>401</v>
      </c>
      <c r="AA15" t="s">
        <v>424</v>
      </c>
      <c r="AB15" t="s">
        <v>665</v>
      </c>
      <c r="AC15" t="s">
        <v>666</v>
      </c>
      <c r="AD15" t="s">
        <v>667</v>
      </c>
      <c r="AE15" s="53">
        <v>136.80000000000001</v>
      </c>
      <c r="AF15" s="34">
        <v>19.7</v>
      </c>
      <c r="AG15" s="34">
        <v>18.8</v>
      </c>
      <c r="AH15" s="34">
        <v>1.23</v>
      </c>
    </row>
    <row r="16" spans="1:52">
      <c r="A16" s="51" t="s">
        <v>96</v>
      </c>
      <c r="B16" s="61" t="s">
        <v>668</v>
      </c>
      <c r="C16" s="49" t="s">
        <v>95</v>
      </c>
      <c r="D16" t="s">
        <v>365</v>
      </c>
      <c r="E16">
        <v>168</v>
      </c>
      <c r="F16" t="s">
        <v>111</v>
      </c>
      <c r="G16" t="s">
        <v>669</v>
      </c>
      <c r="H16" t="s">
        <v>257</v>
      </c>
      <c r="I16" t="s">
        <v>582</v>
      </c>
      <c r="J16" t="s">
        <v>472</v>
      </c>
      <c r="K16" t="s">
        <v>111</v>
      </c>
      <c r="L16" t="s">
        <v>111</v>
      </c>
      <c r="M16" t="s">
        <v>111</v>
      </c>
      <c r="N16" t="s">
        <v>245</v>
      </c>
      <c r="O16">
        <v>7.4720000000000004</v>
      </c>
      <c r="P16">
        <v>38.799999999999997</v>
      </c>
      <c r="Q16">
        <v>82.9</v>
      </c>
      <c r="R16" t="s">
        <v>670</v>
      </c>
      <c r="S16" t="s">
        <v>202</v>
      </c>
      <c r="T16" t="s">
        <v>671</v>
      </c>
      <c r="U16" t="s">
        <v>301</v>
      </c>
      <c r="V16" t="s">
        <v>672</v>
      </c>
      <c r="W16" t="s">
        <v>673</v>
      </c>
      <c r="X16" t="s">
        <v>674</v>
      </c>
      <c r="Y16" t="s">
        <v>675</v>
      </c>
      <c r="Z16" t="s">
        <v>401</v>
      </c>
      <c r="AA16" t="s">
        <v>511</v>
      </c>
      <c r="AB16" t="s">
        <v>665</v>
      </c>
      <c r="AC16" t="s">
        <v>676</v>
      </c>
      <c r="AD16" t="s">
        <v>677</v>
      </c>
      <c r="AE16" s="53">
        <v>140.80000000000001</v>
      </c>
      <c r="AF16" s="34">
        <v>13.6</v>
      </c>
      <c r="AG16" s="34">
        <v>15.1</v>
      </c>
      <c r="AH16" s="34">
        <v>1.54</v>
      </c>
    </row>
    <row r="17" spans="1:34">
      <c r="A17" s="51" t="s">
        <v>97</v>
      </c>
      <c r="B17" s="61" t="s">
        <v>678</v>
      </c>
      <c r="C17" s="49" t="s">
        <v>95</v>
      </c>
      <c r="D17" t="s">
        <v>237</v>
      </c>
      <c r="E17">
        <v>295</v>
      </c>
      <c r="F17" t="s">
        <v>111</v>
      </c>
      <c r="G17" t="s">
        <v>679</v>
      </c>
      <c r="H17" t="s">
        <v>470</v>
      </c>
      <c r="I17" t="s">
        <v>680</v>
      </c>
      <c r="J17" t="s">
        <v>501</v>
      </c>
      <c r="K17" t="s">
        <v>111</v>
      </c>
      <c r="L17" t="s">
        <v>111</v>
      </c>
      <c r="M17" t="s">
        <v>111</v>
      </c>
      <c r="N17" t="s">
        <v>681</v>
      </c>
      <c r="O17">
        <v>7.431</v>
      </c>
      <c r="P17">
        <v>40</v>
      </c>
      <c r="Q17">
        <v>87.7</v>
      </c>
      <c r="R17" t="s">
        <v>393</v>
      </c>
      <c r="S17" t="s">
        <v>388</v>
      </c>
      <c r="T17" t="s">
        <v>682</v>
      </c>
      <c r="U17" t="s">
        <v>178</v>
      </c>
      <c r="V17" t="s">
        <v>683</v>
      </c>
      <c r="W17" t="s">
        <v>684</v>
      </c>
      <c r="X17" t="s">
        <v>685</v>
      </c>
      <c r="Y17" t="s">
        <v>686</v>
      </c>
      <c r="Z17" t="s">
        <v>401</v>
      </c>
      <c r="AA17" t="s">
        <v>183</v>
      </c>
      <c r="AB17" t="s">
        <v>207</v>
      </c>
      <c r="AC17" t="s">
        <v>396</v>
      </c>
      <c r="AD17" t="s">
        <v>378</v>
      </c>
      <c r="AE17" s="53">
        <v>114.6</v>
      </c>
      <c r="AF17" s="34">
        <v>17.2</v>
      </c>
      <c r="AG17" s="34">
        <v>11.3</v>
      </c>
      <c r="AH17" s="34">
        <v>1.1100000000000001</v>
      </c>
    </row>
    <row r="18" spans="1:34">
      <c r="A18" s="65" t="s">
        <v>98</v>
      </c>
      <c r="B18" s="61" t="s">
        <v>687</v>
      </c>
      <c r="C18" s="49" t="s">
        <v>95</v>
      </c>
      <c r="D18" t="s">
        <v>264</v>
      </c>
      <c r="E18">
        <v>292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688</v>
      </c>
      <c r="O18">
        <v>7.57</v>
      </c>
      <c r="P18">
        <v>31.6</v>
      </c>
      <c r="Q18">
        <v>102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 t="s">
        <v>689</v>
      </c>
      <c r="C19" s="49" t="s">
        <v>95</v>
      </c>
      <c r="D19" t="s">
        <v>208</v>
      </c>
      <c r="E19">
        <v>292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197</v>
      </c>
      <c r="O19">
        <v>7.548</v>
      </c>
      <c r="P19">
        <v>29.6</v>
      </c>
      <c r="Q19">
        <v>104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690</v>
      </c>
      <c r="C20" s="49" t="s">
        <v>95</v>
      </c>
      <c r="D20" t="s">
        <v>358</v>
      </c>
      <c r="E20">
        <v>277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691</v>
      </c>
      <c r="O20">
        <v>7.508</v>
      </c>
      <c r="P20">
        <v>31.5</v>
      </c>
      <c r="Q20">
        <v>97.2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692</v>
      </c>
      <c r="C21" s="49" t="s">
        <v>95</v>
      </c>
      <c r="D21" t="s">
        <v>386</v>
      </c>
      <c r="E21">
        <v>247</v>
      </c>
      <c r="F21" t="s">
        <v>111</v>
      </c>
      <c r="G21" t="s">
        <v>693</v>
      </c>
      <c r="H21" t="s">
        <v>513</v>
      </c>
      <c r="I21" t="s">
        <v>389</v>
      </c>
      <c r="J21" t="s">
        <v>377</v>
      </c>
      <c r="K21" t="s">
        <v>111</v>
      </c>
      <c r="L21" t="s">
        <v>111</v>
      </c>
      <c r="M21" t="s">
        <v>111</v>
      </c>
      <c r="N21" t="s">
        <v>694</v>
      </c>
      <c r="O21">
        <v>7.492</v>
      </c>
      <c r="P21">
        <v>34.6</v>
      </c>
      <c r="Q21">
        <v>93.3</v>
      </c>
      <c r="R21" t="s">
        <v>631</v>
      </c>
      <c r="S21" t="s">
        <v>430</v>
      </c>
      <c r="T21" t="s">
        <v>695</v>
      </c>
      <c r="U21" t="s">
        <v>178</v>
      </c>
      <c r="V21" t="s">
        <v>696</v>
      </c>
      <c r="W21" t="s">
        <v>697</v>
      </c>
      <c r="X21" t="s">
        <v>698</v>
      </c>
      <c r="Y21" t="s">
        <v>699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53">
        <v>125.6</v>
      </c>
      <c r="AF21" s="34">
        <v>12.6</v>
      </c>
      <c r="AG21" s="34">
        <v>14</v>
      </c>
      <c r="AH21" s="34">
        <v>1.05</v>
      </c>
    </row>
    <row r="22" spans="1:34">
      <c r="A22" s="51" t="s">
        <v>102</v>
      </c>
      <c r="B22" s="61" t="s">
        <v>700</v>
      </c>
      <c r="C22" s="49" t="s">
        <v>95</v>
      </c>
      <c r="D22" t="s">
        <v>522</v>
      </c>
      <c r="E22">
        <v>267</v>
      </c>
      <c r="F22" t="s">
        <v>111</v>
      </c>
      <c r="G22" t="s">
        <v>701</v>
      </c>
      <c r="H22" t="s">
        <v>513</v>
      </c>
      <c r="I22" t="s">
        <v>702</v>
      </c>
      <c r="J22" t="s">
        <v>703</v>
      </c>
      <c r="K22" t="s">
        <v>111</v>
      </c>
      <c r="L22" t="s">
        <v>111</v>
      </c>
      <c r="M22" t="s">
        <v>111</v>
      </c>
      <c r="N22" t="s">
        <v>704</v>
      </c>
      <c r="O22">
        <v>7.4880000000000004</v>
      </c>
      <c r="P22">
        <v>33.9</v>
      </c>
      <c r="Q22">
        <v>96.1</v>
      </c>
      <c r="R22" t="s">
        <v>705</v>
      </c>
      <c r="S22" t="s">
        <v>359</v>
      </c>
      <c r="T22" t="s">
        <v>706</v>
      </c>
      <c r="U22" t="s">
        <v>240</v>
      </c>
      <c r="V22" t="s">
        <v>707</v>
      </c>
      <c r="W22" t="s">
        <v>708</v>
      </c>
      <c r="X22" t="s">
        <v>709</v>
      </c>
      <c r="Y22" t="s">
        <v>699</v>
      </c>
      <c r="Z22" t="s">
        <v>401</v>
      </c>
      <c r="AA22" t="s">
        <v>347</v>
      </c>
      <c r="AB22" t="s">
        <v>710</v>
      </c>
      <c r="AC22" t="s">
        <v>711</v>
      </c>
      <c r="AD22" t="s">
        <v>712</v>
      </c>
      <c r="AE22" s="34">
        <v>135.4</v>
      </c>
      <c r="AF22" s="34">
        <v>13.8</v>
      </c>
      <c r="AG22" s="34">
        <v>11.9</v>
      </c>
      <c r="AH22" s="34">
        <v>1.17</v>
      </c>
    </row>
    <row r="23" spans="1:34">
      <c r="A23" s="51" t="s">
        <v>103</v>
      </c>
      <c r="B23" s="61" t="s">
        <v>713</v>
      </c>
      <c r="C23" s="49" t="s">
        <v>95</v>
      </c>
      <c r="D23" t="s">
        <v>271</v>
      </c>
      <c r="E23">
        <v>202</v>
      </c>
      <c r="F23" t="s">
        <v>111</v>
      </c>
      <c r="G23" t="s">
        <v>714</v>
      </c>
      <c r="H23" t="s">
        <v>715</v>
      </c>
      <c r="I23" t="s">
        <v>150</v>
      </c>
      <c r="J23" t="s">
        <v>716</v>
      </c>
      <c r="K23" t="s">
        <v>111</v>
      </c>
      <c r="L23" t="s">
        <v>111</v>
      </c>
      <c r="M23" t="s">
        <v>111</v>
      </c>
      <c r="N23" t="s">
        <v>148</v>
      </c>
      <c r="O23">
        <v>7.431</v>
      </c>
      <c r="P23">
        <v>42.8</v>
      </c>
      <c r="Q23">
        <v>26.6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717</v>
      </c>
      <c r="Z23" t="s">
        <v>111</v>
      </c>
      <c r="AA23" t="s">
        <v>204</v>
      </c>
      <c r="AB23" t="s">
        <v>111</v>
      </c>
      <c r="AC23" t="s">
        <v>111</v>
      </c>
      <c r="AD23" t="s">
        <v>718</v>
      </c>
      <c r="AE23" s="34">
        <v>121</v>
      </c>
      <c r="AF23" s="34">
        <v>8.6</v>
      </c>
      <c r="AG23" s="34">
        <v>12.7</v>
      </c>
      <c r="AH23" s="34">
        <v>2.2799999999999998</v>
      </c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A7D94C7-11D5-4A08-80B7-7EBE0B7AD901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00F4-B647-4890-A426-BBC77BA627F2}">
  <dimension ref="A1:AZ28"/>
  <sheetViews>
    <sheetView workbookViewId="0">
      <selection activeCell="B10" sqref="B10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719</v>
      </c>
      <c r="C4" s="81"/>
      <c r="D4" s="42"/>
      <c r="E4" s="41" t="s">
        <v>4</v>
      </c>
      <c r="F4" s="92"/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1.73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45182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54.494999999999997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54.494999999999997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8427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720</v>
      </c>
      <c r="C15" s="49" t="s">
        <v>95</v>
      </c>
      <c r="D15" t="s">
        <v>261</v>
      </c>
      <c r="E15">
        <v>259</v>
      </c>
      <c r="F15" t="s">
        <v>111</v>
      </c>
      <c r="G15" t="s">
        <v>721</v>
      </c>
      <c r="H15" t="s">
        <v>231</v>
      </c>
      <c r="I15" t="s">
        <v>722</v>
      </c>
      <c r="J15" t="s">
        <v>723</v>
      </c>
      <c r="K15" t="s">
        <v>111</v>
      </c>
      <c r="L15" t="s">
        <v>111</v>
      </c>
      <c r="M15" t="s">
        <v>111</v>
      </c>
      <c r="N15" t="s">
        <v>401</v>
      </c>
      <c r="O15">
        <v>7.4880000000000004</v>
      </c>
      <c r="P15">
        <v>37.6</v>
      </c>
      <c r="Q15">
        <v>89.1</v>
      </c>
      <c r="R15" t="s">
        <v>386</v>
      </c>
      <c r="S15" t="s">
        <v>291</v>
      </c>
      <c r="T15" t="s">
        <v>242</v>
      </c>
      <c r="U15" t="s">
        <v>192</v>
      </c>
      <c r="V15" t="s">
        <v>724</v>
      </c>
      <c r="W15" t="s">
        <v>725</v>
      </c>
      <c r="X15" t="s">
        <v>726</v>
      </c>
      <c r="Y15" t="s">
        <v>727</v>
      </c>
      <c r="Z15" t="s">
        <v>142</v>
      </c>
      <c r="AA15" t="s">
        <v>728</v>
      </c>
      <c r="AB15" t="s">
        <v>729</v>
      </c>
      <c r="AC15" t="s">
        <v>667</v>
      </c>
      <c r="AD15" t="s">
        <v>730</v>
      </c>
      <c r="AE15" s="53">
        <v>140.9</v>
      </c>
      <c r="AF15" s="34">
        <v>16.8</v>
      </c>
      <c r="AG15" s="34">
        <v>17.7</v>
      </c>
      <c r="AH15" s="34">
        <v>1.0900000000000001</v>
      </c>
    </row>
    <row r="16" spans="1:52">
      <c r="A16" s="51" t="s">
        <v>96</v>
      </c>
      <c r="B16" s="61" t="s">
        <v>731</v>
      </c>
      <c r="C16" s="49" t="s">
        <v>95</v>
      </c>
      <c r="D16" t="s">
        <v>128</v>
      </c>
      <c r="E16">
        <v>256</v>
      </c>
      <c r="F16" t="s">
        <v>111</v>
      </c>
      <c r="G16" t="s">
        <v>732</v>
      </c>
      <c r="H16" t="s">
        <v>542</v>
      </c>
      <c r="I16" t="s">
        <v>548</v>
      </c>
      <c r="J16" t="s">
        <v>180</v>
      </c>
      <c r="K16" t="s">
        <v>111</v>
      </c>
      <c r="L16" t="s">
        <v>111</v>
      </c>
      <c r="M16" t="s">
        <v>111</v>
      </c>
      <c r="N16" t="s">
        <v>389</v>
      </c>
      <c r="O16">
        <v>7.3040000000000003</v>
      </c>
      <c r="P16">
        <v>34.799999999999997</v>
      </c>
      <c r="Q16">
        <v>91.4</v>
      </c>
      <c r="R16" t="s">
        <v>733</v>
      </c>
      <c r="S16" t="s">
        <v>734</v>
      </c>
      <c r="T16" t="s">
        <v>735</v>
      </c>
      <c r="U16" t="s">
        <v>356</v>
      </c>
      <c r="V16" t="s">
        <v>736</v>
      </c>
      <c r="W16" t="s">
        <v>737</v>
      </c>
      <c r="X16" t="s">
        <v>738</v>
      </c>
      <c r="Y16" t="s">
        <v>739</v>
      </c>
      <c r="Z16" t="s">
        <v>401</v>
      </c>
      <c r="AA16" t="s">
        <v>740</v>
      </c>
      <c r="AB16" t="s">
        <v>149</v>
      </c>
      <c r="AC16" t="s">
        <v>741</v>
      </c>
      <c r="AD16" t="s">
        <v>396</v>
      </c>
      <c r="AE16" s="53">
        <v>128.9</v>
      </c>
      <c r="AF16" s="34">
        <v>12.4</v>
      </c>
      <c r="AG16" s="34">
        <v>21.2</v>
      </c>
      <c r="AH16" s="34">
        <v>2.93</v>
      </c>
    </row>
    <row r="17" spans="1:34">
      <c r="A17" s="51" t="s">
        <v>97</v>
      </c>
      <c r="B17" s="61" t="s">
        <v>742</v>
      </c>
      <c r="C17" s="49" t="s">
        <v>95</v>
      </c>
      <c r="D17" t="s">
        <v>502</v>
      </c>
      <c r="E17">
        <v>287</v>
      </c>
      <c r="F17" t="s">
        <v>111</v>
      </c>
      <c r="G17" t="s">
        <v>743</v>
      </c>
      <c r="H17" t="s">
        <v>149</v>
      </c>
      <c r="I17" t="s">
        <v>295</v>
      </c>
      <c r="J17" t="s">
        <v>375</v>
      </c>
      <c r="K17" t="s">
        <v>111</v>
      </c>
      <c r="L17" t="s">
        <v>111</v>
      </c>
      <c r="M17" t="s">
        <v>111</v>
      </c>
      <c r="N17" t="s">
        <v>389</v>
      </c>
      <c r="O17">
        <v>7.2670000000000003</v>
      </c>
      <c r="P17">
        <v>36.299999999999997</v>
      </c>
      <c r="Q17">
        <v>96.2</v>
      </c>
      <c r="R17" t="s">
        <v>744</v>
      </c>
      <c r="S17" t="s">
        <v>745</v>
      </c>
      <c r="T17" t="s">
        <v>746</v>
      </c>
      <c r="U17" t="s">
        <v>419</v>
      </c>
      <c r="V17" t="s">
        <v>747</v>
      </c>
      <c r="W17" t="s">
        <v>748</v>
      </c>
      <c r="X17" t="s">
        <v>749</v>
      </c>
      <c r="Y17" t="s">
        <v>750</v>
      </c>
      <c r="Z17" t="s">
        <v>401</v>
      </c>
      <c r="AA17" t="s">
        <v>751</v>
      </c>
      <c r="AB17" t="s">
        <v>493</v>
      </c>
      <c r="AC17" t="s">
        <v>752</v>
      </c>
      <c r="AD17" t="s">
        <v>753</v>
      </c>
      <c r="AE17" s="53">
        <v>96.8</v>
      </c>
      <c r="AF17" s="34">
        <v>13.9</v>
      </c>
      <c r="AG17" s="34">
        <v>17.5</v>
      </c>
      <c r="AH17" s="34">
        <v>1.96</v>
      </c>
    </row>
    <row r="18" spans="1:34">
      <c r="A18" s="65" t="s">
        <v>98</v>
      </c>
      <c r="B18" s="61" t="s">
        <v>754</v>
      </c>
      <c r="C18" s="49" t="s">
        <v>95</v>
      </c>
      <c r="D18" t="s">
        <v>559</v>
      </c>
      <c r="E18">
        <v>288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755</v>
      </c>
      <c r="O18">
        <v>7.4169999999999998</v>
      </c>
      <c r="P18">
        <v>34</v>
      </c>
      <c r="Q18">
        <v>96.8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 t="s">
        <v>756</v>
      </c>
      <c r="C19" s="49" t="s">
        <v>95</v>
      </c>
      <c r="D19" t="s">
        <v>431</v>
      </c>
      <c r="E19">
        <v>264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165</v>
      </c>
      <c r="O19">
        <v>7.4749999999999996</v>
      </c>
      <c r="P19">
        <v>33</v>
      </c>
      <c r="Q19">
        <v>117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757</v>
      </c>
      <c r="C20" s="49" t="s">
        <v>95</v>
      </c>
      <c r="D20" t="s">
        <v>238</v>
      </c>
      <c r="E20">
        <v>295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704</v>
      </c>
      <c r="O20">
        <v>7.492</v>
      </c>
      <c r="P20">
        <v>32.6</v>
      </c>
      <c r="Q20">
        <v>95.7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758</v>
      </c>
      <c r="C21" s="49" t="s">
        <v>95</v>
      </c>
      <c r="D21" t="s">
        <v>162</v>
      </c>
      <c r="E21">
        <v>291</v>
      </c>
      <c r="F21" t="s">
        <v>111</v>
      </c>
      <c r="G21" t="s">
        <v>759</v>
      </c>
      <c r="H21" t="s">
        <v>189</v>
      </c>
      <c r="I21" t="s">
        <v>760</v>
      </c>
      <c r="J21" t="s">
        <v>761</v>
      </c>
      <c r="K21" t="s">
        <v>111</v>
      </c>
      <c r="L21" t="s">
        <v>111</v>
      </c>
      <c r="M21" t="s">
        <v>111</v>
      </c>
      <c r="N21" t="s">
        <v>584</v>
      </c>
      <c r="O21">
        <v>7.46</v>
      </c>
      <c r="P21">
        <v>37.6</v>
      </c>
      <c r="Q21">
        <v>92.5</v>
      </c>
      <c r="R21" t="s">
        <v>762</v>
      </c>
      <c r="S21" t="s">
        <v>175</v>
      </c>
      <c r="T21" t="s">
        <v>763</v>
      </c>
      <c r="U21" t="s">
        <v>136</v>
      </c>
      <c r="V21" t="s">
        <v>764</v>
      </c>
      <c r="W21" t="s">
        <v>362</v>
      </c>
      <c r="X21" t="s">
        <v>765</v>
      </c>
      <c r="Y21" t="s">
        <v>766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53">
        <v>111.9</v>
      </c>
      <c r="AF21" s="34">
        <v>10.8</v>
      </c>
      <c r="AG21" s="34">
        <v>18.2</v>
      </c>
      <c r="AH21" s="34">
        <v>1.25</v>
      </c>
    </row>
    <row r="22" spans="1:34">
      <c r="A22" s="51" t="s">
        <v>102</v>
      </c>
      <c r="B22" s="61" t="s">
        <v>767</v>
      </c>
      <c r="C22" s="49" t="s">
        <v>95</v>
      </c>
      <c r="D22" t="s">
        <v>175</v>
      </c>
      <c r="E22">
        <v>270</v>
      </c>
      <c r="F22" t="s">
        <v>111</v>
      </c>
      <c r="G22" t="s">
        <v>768</v>
      </c>
      <c r="H22" t="s">
        <v>189</v>
      </c>
      <c r="I22" t="s">
        <v>760</v>
      </c>
      <c r="J22" t="s">
        <v>769</v>
      </c>
      <c r="K22" t="s">
        <v>111</v>
      </c>
      <c r="L22" t="s">
        <v>111</v>
      </c>
      <c r="M22" t="s">
        <v>111</v>
      </c>
      <c r="N22" t="s">
        <v>473</v>
      </c>
      <c r="O22">
        <v>7.4669999999999996</v>
      </c>
      <c r="P22">
        <v>38</v>
      </c>
      <c r="Q22">
        <v>89.3</v>
      </c>
      <c r="R22" t="s">
        <v>235</v>
      </c>
      <c r="S22" t="s">
        <v>208</v>
      </c>
      <c r="T22" t="s">
        <v>770</v>
      </c>
      <c r="U22" t="s">
        <v>136</v>
      </c>
      <c r="V22" t="s">
        <v>771</v>
      </c>
      <c r="W22" t="s">
        <v>772</v>
      </c>
      <c r="X22" t="s">
        <v>773</v>
      </c>
      <c r="Y22" t="s">
        <v>774</v>
      </c>
      <c r="Z22" t="s">
        <v>401</v>
      </c>
      <c r="AA22" t="s">
        <v>775</v>
      </c>
      <c r="AB22" t="s">
        <v>681</v>
      </c>
      <c r="AC22" t="s">
        <v>776</v>
      </c>
      <c r="AD22" t="s">
        <v>777</v>
      </c>
      <c r="AE22" s="34">
        <v>110.3</v>
      </c>
      <c r="AF22" s="34">
        <v>12.8</v>
      </c>
      <c r="AG22" s="34">
        <v>16.100000000000001</v>
      </c>
      <c r="AH22" s="34">
        <v>1.38</v>
      </c>
    </row>
    <row r="23" spans="1:34">
      <c r="A23" s="51" t="s">
        <v>103</v>
      </c>
      <c r="B23" s="61" t="s">
        <v>742</v>
      </c>
      <c r="C23" s="49" t="s">
        <v>95</v>
      </c>
      <c r="D23" t="s">
        <v>396</v>
      </c>
      <c r="E23">
        <v>226</v>
      </c>
      <c r="F23" t="s">
        <v>111</v>
      </c>
      <c r="G23" t="s">
        <v>778</v>
      </c>
      <c r="H23" t="s">
        <v>186</v>
      </c>
      <c r="I23" t="s">
        <v>779</v>
      </c>
      <c r="J23" t="s">
        <v>418</v>
      </c>
      <c r="K23" t="s">
        <v>111</v>
      </c>
      <c r="L23" t="s">
        <v>111</v>
      </c>
      <c r="M23" t="s">
        <v>111</v>
      </c>
      <c r="N23" t="s">
        <v>222</v>
      </c>
      <c r="O23">
        <v>7.4909999999999997</v>
      </c>
      <c r="P23">
        <v>37.299999999999997</v>
      </c>
      <c r="Q23">
        <v>69.8</v>
      </c>
      <c r="R23" t="s">
        <v>284</v>
      </c>
      <c r="S23" t="s">
        <v>780</v>
      </c>
      <c r="T23" t="s">
        <v>287</v>
      </c>
      <c r="U23" t="s">
        <v>136</v>
      </c>
      <c r="V23" t="s">
        <v>781</v>
      </c>
      <c r="W23" t="s">
        <v>782</v>
      </c>
      <c r="X23" t="s">
        <v>783</v>
      </c>
      <c r="Y23" t="s">
        <v>784</v>
      </c>
      <c r="Z23" t="s">
        <v>401</v>
      </c>
      <c r="AA23" t="s">
        <v>390</v>
      </c>
      <c r="AB23" t="s">
        <v>111</v>
      </c>
      <c r="AC23" t="s">
        <v>111</v>
      </c>
      <c r="AD23" t="s">
        <v>785</v>
      </c>
      <c r="AE23" s="34">
        <v>134.6</v>
      </c>
      <c r="AF23" s="34">
        <v>8</v>
      </c>
      <c r="AG23" s="34">
        <v>18.7</v>
      </c>
      <c r="AH23" s="34">
        <v>2.48</v>
      </c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609149E-A0EC-4D4B-A213-3F01DD7C83F1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17DA-9C92-46A7-B5FB-C162A1C6AC4F}">
  <dimension ref="A1:AZ28"/>
  <sheetViews>
    <sheetView workbookViewId="0">
      <selection activeCell="B10" sqref="B10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786</v>
      </c>
      <c r="C4" s="81"/>
      <c r="D4" s="42"/>
      <c r="E4" s="41" t="s">
        <v>4</v>
      </c>
      <c r="F4" s="92" t="s">
        <v>306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1.82</v>
      </c>
      <c r="C5" s="81"/>
      <c r="D5" s="42"/>
      <c r="E5" s="41" t="s">
        <v>7</v>
      </c>
      <c r="F5" s="96" t="s">
        <v>787</v>
      </c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46285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/>
      <c r="C15" s="49" t="s">
        <v>95</v>
      </c>
      <c r="D15" s="49"/>
      <c r="E15" s="49"/>
      <c r="F15" s="49"/>
      <c r="G15" s="62"/>
      <c r="H15" s="62"/>
      <c r="I15" s="53"/>
      <c r="J15" s="53"/>
      <c r="K15" s="53"/>
      <c r="L15" s="53"/>
      <c r="M15" s="63" t="e">
        <f t="shared" ref="M15:M26" si="0">(L15/(((H15*10)/64500)*10^6))*100</f>
        <v>#DIV/0!</v>
      </c>
      <c r="N15" s="32"/>
      <c r="O15" s="32"/>
      <c r="P15" s="32"/>
      <c r="Q15" s="32"/>
      <c r="R15" s="53"/>
      <c r="S15" s="3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96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 t="shared" si="0"/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51" t="s">
        <v>97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 t="shared" si="0"/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65" t="s">
        <v>98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 t="shared" si="0"/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34"/>
      <c r="AG21" s="34"/>
      <c r="AH21" s="34"/>
    </row>
    <row r="22" spans="1:34">
      <c r="A22" s="51" t="s">
        <v>102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 t="shared" si="0"/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103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s="49"/>
      <c r="E26" s="49"/>
      <c r="F26" s="49"/>
      <c r="G26" s="53"/>
      <c r="H26" s="53"/>
      <c r="I26" s="53"/>
      <c r="J26" s="53"/>
      <c r="K26" s="53"/>
      <c r="L26" s="53"/>
      <c r="M26" s="63" t="e">
        <f t="shared" si="0"/>
        <v>#DIV/0!</v>
      </c>
      <c r="N26" s="32"/>
      <c r="O26" s="32"/>
      <c r="P26" s="32"/>
      <c r="Q26" s="32"/>
      <c r="R26" s="53"/>
      <c r="S26" s="53"/>
      <c r="T26" s="53"/>
      <c r="U26" s="53"/>
      <c r="V26" s="53"/>
      <c r="W26" s="53"/>
      <c r="X26" s="53"/>
      <c r="Y26" s="53"/>
      <c r="Z26" s="53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5C3F2DB6-48FE-40F7-9B53-58AA6592826E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4E8D-60F7-472E-A386-FBA6CC1070A4}">
  <dimension ref="A1:AZ28"/>
  <sheetViews>
    <sheetView workbookViewId="0">
      <selection activeCell="B10" sqref="B10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788</v>
      </c>
      <c r="C4" s="81"/>
      <c r="D4" s="42"/>
      <c r="E4" s="41" t="s">
        <v>4</v>
      </c>
      <c r="F4" s="92" t="s">
        <v>306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/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/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/>
      <c r="C15" s="49" t="s">
        <v>95</v>
      </c>
      <c r="D15" s="49"/>
      <c r="E15" s="49"/>
      <c r="F15" s="49"/>
      <c r="G15" s="62"/>
      <c r="H15" s="62"/>
      <c r="I15" s="53"/>
      <c r="J15" s="53"/>
      <c r="K15" s="53"/>
      <c r="L15" s="53"/>
      <c r="M15" s="63" t="e">
        <f t="shared" ref="M15:M26" si="0">(L15/(((H15*10)/64500)*10^6))*100</f>
        <v>#DIV/0!</v>
      </c>
      <c r="N15" s="32"/>
      <c r="O15" s="32"/>
      <c r="P15" s="32"/>
      <c r="Q15" s="32"/>
      <c r="R15" s="53"/>
      <c r="S15" s="3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96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 t="shared" si="0"/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51" t="s">
        <v>97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 t="shared" si="0"/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65" t="s">
        <v>98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 t="shared" si="0"/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34"/>
      <c r="AG21" s="34"/>
      <c r="AH21" s="34"/>
    </row>
    <row r="22" spans="1:34">
      <c r="A22" s="51" t="s">
        <v>102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 t="shared" si="0"/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103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s="49"/>
      <c r="E26" s="49"/>
      <c r="F26" s="49"/>
      <c r="G26" s="53"/>
      <c r="H26" s="53"/>
      <c r="I26" s="53"/>
      <c r="J26" s="53"/>
      <c r="K26" s="53"/>
      <c r="L26" s="53"/>
      <c r="M26" s="63" t="e">
        <f t="shared" si="0"/>
        <v>#DIV/0!</v>
      </c>
      <c r="N26" s="32"/>
      <c r="O26" s="32"/>
      <c r="P26" s="32"/>
      <c r="Q26" s="32"/>
      <c r="R26" s="53"/>
      <c r="S26" s="53"/>
      <c r="T26" s="53"/>
      <c r="U26" s="53"/>
      <c r="V26" s="53"/>
      <c r="W26" s="53"/>
      <c r="X26" s="53"/>
      <c r="Y26" s="53"/>
      <c r="Z26" s="53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C49DA1F-FCCA-47C6-A735-99C5D7F84CA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2D8-B537-4C65-9E0D-03AEC99CF429}">
  <dimension ref="A1:AZ28"/>
  <sheetViews>
    <sheetView workbookViewId="0">
      <selection activeCell="B10" sqref="B10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789</v>
      </c>
      <c r="C4" s="81"/>
      <c r="D4" s="42"/>
      <c r="E4" s="41" t="s">
        <v>4</v>
      </c>
      <c r="F4" s="92"/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1.66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46287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52.29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52.29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8533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790</v>
      </c>
      <c r="C15" s="49" t="s">
        <v>95</v>
      </c>
      <c r="D15" s="49">
        <v>76</v>
      </c>
      <c r="E15" s="49">
        <v>250</v>
      </c>
      <c r="F15" s="49"/>
      <c r="G15" s="62">
        <v>5.63</v>
      </c>
      <c r="H15" s="62">
        <v>12.7</v>
      </c>
      <c r="I15" s="53">
        <v>38</v>
      </c>
      <c r="J15" s="53">
        <v>227</v>
      </c>
      <c r="K15" s="53"/>
      <c r="L15" s="53"/>
      <c r="M15" s="63">
        <f t="shared" ref="M15:M26" si="0">(L15/(((H15*10)/64500)*10^6))*100</f>
        <v>0</v>
      </c>
      <c r="N15" s="32">
        <v>1.3</v>
      </c>
      <c r="O15" s="32">
        <v>7.49</v>
      </c>
      <c r="P15" s="32">
        <v>38.1</v>
      </c>
      <c r="Q15" s="32">
        <v>80.099999999999994</v>
      </c>
      <c r="R15" s="53" t="s">
        <v>791</v>
      </c>
      <c r="S15" s="33" t="s">
        <v>791</v>
      </c>
      <c r="T15" s="53">
        <v>7</v>
      </c>
      <c r="U15" s="53">
        <v>0.2</v>
      </c>
      <c r="V15" s="53">
        <v>1.49</v>
      </c>
      <c r="W15" s="53">
        <v>27</v>
      </c>
      <c r="X15" s="53" t="s">
        <v>792</v>
      </c>
      <c r="Y15" s="53">
        <v>22.46</v>
      </c>
      <c r="Z15" s="53" t="s">
        <v>793</v>
      </c>
      <c r="AA15" s="53">
        <v>9.1999999999999993</v>
      </c>
      <c r="AB15" s="53">
        <v>1.3</v>
      </c>
      <c r="AC15" s="53">
        <v>70.400000000000006</v>
      </c>
      <c r="AD15" s="53">
        <v>63.8</v>
      </c>
      <c r="AE15" s="53">
        <v>45.3</v>
      </c>
      <c r="AF15" s="34">
        <v>18.8</v>
      </c>
      <c r="AG15" s="34">
        <v>25</v>
      </c>
      <c r="AH15" s="34">
        <v>1.79</v>
      </c>
    </row>
    <row r="16" spans="1:52">
      <c r="A16" s="51" t="s">
        <v>96</v>
      </c>
      <c r="B16" s="61" t="s">
        <v>343</v>
      </c>
      <c r="C16" s="49" t="s">
        <v>95</v>
      </c>
      <c r="D16" s="49">
        <v>44</v>
      </c>
      <c r="E16" s="49">
        <v>173</v>
      </c>
      <c r="F16" s="49"/>
      <c r="G16" s="53">
        <v>3.32</v>
      </c>
      <c r="H16" s="53">
        <v>7.6</v>
      </c>
      <c r="I16" s="53">
        <v>22.2</v>
      </c>
      <c r="J16" s="53">
        <v>181</v>
      </c>
      <c r="K16" s="53"/>
      <c r="L16" s="53"/>
      <c r="M16" s="63">
        <f t="shared" si="0"/>
        <v>0</v>
      </c>
      <c r="N16" s="32">
        <v>14.8</v>
      </c>
      <c r="O16" s="32">
        <v>7.383</v>
      </c>
      <c r="P16" s="32">
        <v>36</v>
      </c>
      <c r="Q16" s="32">
        <v>86.3</v>
      </c>
      <c r="R16" s="53">
        <v>85</v>
      </c>
      <c r="S16" s="53">
        <v>40</v>
      </c>
      <c r="T16" s="53">
        <v>125</v>
      </c>
      <c r="U16" s="53">
        <v>0.9</v>
      </c>
      <c r="V16" s="53">
        <v>15.37</v>
      </c>
      <c r="W16" s="53">
        <v>303</v>
      </c>
      <c r="X16" s="53">
        <v>229.45</v>
      </c>
      <c r="Y16" s="53">
        <v>417.87</v>
      </c>
      <c r="Z16" s="53" t="s">
        <v>793</v>
      </c>
      <c r="AA16" s="53">
        <v>8.3000000000000007</v>
      </c>
      <c r="AB16" s="53">
        <v>2.1</v>
      </c>
      <c r="AC16" s="53">
        <v>64</v>
      </c>
      <c r="AD16" s="53">
        <v>67.8</v>
      </c>
      <c r="AE16" s="53">
        <v>140.9</v>
      </c>
      <c r="AF16" s="34">
        <v>11.2</v>
      </c>
      <c r="AG16" s="34">
        <v>32.700000000000003</v>
      </c>
      <c r="AH16" s="34">
        <v>3.03</v>
      </c>
    </row>
    <row r="17" spans="1:34">
      <c r="A17" s="51" t="s">
        <v>97</v>
      </c>
      <c r="B17" s="61" t="s">
        <v>794</v>
      </c>
      <c r="C17" s="49" t="s">
        <v>95</v>
      </c>
      <c r="D17" s="49">
        <v>56</v>
      </c>
      <c r="E17" s="49">
        <v>294</v>
      </c>
      <c r="F17" s="49"/>
      <c r="G17" s="53">
        <v>2.23</v>
      </c>
      <c r="H17" s="53">
        <v>5.0999999999999996</v>
      </c>
      <c r="I17" s="53">
        <v>14.9</v>
      </c>
      <c r="J17" s="53">
        <v>145</v>
      </c>
      <c r="K17" s="53"/>
      <c r="L17" s="53"/>
      <c r="M17" s="63">
        <f t="shared" si="0"/>
        <v>0</v>
      </c>
      <c r="N17" s="32">
        <v>16</v>
      </c>
      <c r="O17" s="32">
        <v>7.3179999999999996</v>
      </c>
      <c r="P17" s="32">
        <v>37.9</v>
      </c>
      <c r="Q17" s="32">
        <v>83.1</v>
      </c>
      <c r="R17" s="53">
        <v>85</v>
      </c>
      <c r="S17" s="53">
        <v>28</v>
      </c>
      <c r="T17" s="53">
        <v>85</v>
      </c>
      <c r="U17" s="53">
        <v>0.8</v>
      </c>
      <c r="V17" s="53">
        <v>13.73</v>
      </c>
      <c r="W17" s="53">
        <v>225</v>
      </c>
      <c r="X17" s="53">
        <v>168.86</v>
      </c>
      <c r="Y17" s="53">
        <v>346.79</v>
      </c>
      <c r="Z17" s="53" t="s">
        <v>793</v>
      </c>
      <c r="AA17" s="53">
        <v>12</v>
      </c>
      <c r="AB17" s="53">
        <v>2.8</v>
      </c>
      <c r="AC17" s="53">
        <v>54.7</v>
      </c>
      <c r="AD17" s="53">
        <v>56.7</v>
      </c>
      <c r="AE17" s="53">
        <v>121.4</v>
      </c>
      <c r="AF17" s="34">
        <v>16.2</v>
      </c>
      <c r="AG17" s="34">
        <v>20</v>
      </c>
      <c r="AH17" s="34">
        <v>1.99</v>
      </c>
    </row>
    <row r="18" spans="1:34">
      <c r="A18" s="65" t="s">
        <v>98</v>
      </c>
      <c r="B18" s="61" t="s">
        <v>795</v>
      </c>
      <c r="C18" s="49" t="s">
        <v>95</v>
      </c>
      <c r="D18" s="49">
        <v>76</v>
      </c>
      <c r="E18" s="49">
        <v>269</v>
      </c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>
        <v>9.6</v>
      </c>
      <c r="O18" s="32">
        <v>7.4429999999999996</v>
      </c>
      <c r="P18" s="32">
        <v>36.5</v>
      </c>
      <c r="Q18" s="32">
        <v>107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 t="s">
        <v>796</v>
      </c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/>
      <c r="O19" s="32">
        <v>7.4909999999999997</v>
      </c>
      <c r="P19" s="32">
        <v>32.700000000000003</v>
      </c>
      <c r="Q19" s="32">
        <v>101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 t="s">
        <v>797</v>
      </c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 t="s">
        <v>798</v>
      </c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 t="shared" si="0"/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34"/>
      <c r="AG21" s="34"/>
      <c r="AH21" s="34"/>
    </row>
    <row r="22" spans="1:34">
      <c r="A22" s="51" t="s">
        <v>102</v>
      </c>
      <c r="B22" s="61" t="s">
        <v>799</v>
      </c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 t="shared" si="0"/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103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s="49"/>
      <c r="E26" s="49"/>
      <c r="F26" s="49"/>
      <c r="G26" s="53"/>
      <c r="H26" s="53"/>
      <c r="I26" s="53"/>
      <c r="J26" s="53"/>
      <c r="K26" s="53"/>
      <c r="L26" s="53"/>
      <c r="M26" s="63" t="e">
        <f t="shared" si="0"/>
        <v>#DIV/0!</v>
      </c>
      <c r="N26" s="32"/>
      <c r="O26" s="32"/>
      <c r="P26" s="32"/>
      <c r="Q26" s="32"/>
      <c r="R26" s="53"/>
      <c r="S26" s="53"/>
      <c r="T26" s="53"/>
      <c r="U26" s="53"/>
      <c r="V26" s="53"/>
      <c r="W26" s="53"/>
      <c r="X26" s="53"/>
      <c r="Y26" s="53"/>
      <c r="Z26" s="53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975124E-197A-4327-90F1-3C4C2F29F4C0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D4CF-8BCD-4311-8828-F6C7E3431186}">
  <dimension ref="A1:AZ28"/>
  <sheetViews>
    <sheetView workbookViewId="0">
      <selection activeCell="B10" sqref="B10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800</v>
      </c>
      <c r="C4" s="81"/>
      <c r="D4" s="42"/>
      <c r="E4" s="41" t="s">
        <v>4</v>
      </c>
      <c r="F4" s="92"/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1.78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46293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56.07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56.07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8427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801</v>
      </c>
      <c r="C15" s="49" t="s">
        <v>95</v>
      </c>
      <c r="D15" t="s">
        <v>209</v>
      </c>
      <c r="E15">
        <v>292</v>
      </c>
      <c r="F15" t="s">
        <v>111</v>
      </c>
      <c r="G15" t="s">
        <v>802</v>
      </c>
      <c r="H15" t="s">
        <v>803</v>
      </c>
      <c r="I15" t="s">
        <v>804</v>
      </c>
      <c r="J15" t="s">
        <v>805</v>
      </c>
      <c r="K15" t="s">
        <v>111</v>
      </c>
      <c r="L15" t="s">
        <v>111</v>
      </c>
      <c r="M15" t="s">
        <v>111</v>
      </c>
      <c r="N15" t="s">
        <v>222</v>
      </c>
      <c r="O15">
        <v>7.45</v>
      </c>
      <c r="P15">
        <v>42.7</v>
      </c>
      <c r="Q15">
        <v>71.3</v>
      </c>
      <c r="R15" t="s">
        <v>806</v>
      </c>
      <c r="S15" t="s">
        <v>546</v>
      </c>
      <c r="T15" t="s">
        <v>154</v>
      </c>
      <c r="U15" t="s">
        <v>240</v>
      </c>
      <c r="V15" t="s">
        <v>807</v>
      </c>
      <c r="W15" t="s">
        <v>808</v>
      </c>
      <c r="X15" t="s">
        <v>809</v>
      </c>
      <c r="Y15" t="s">
        <v>219</v>
      </c>
      <c r="Z15" t="s">
        <v>229</v>
      </c>
      <c r="AA15" t="s">
        <v>198</v>
      </c>
      <c r="AB15" t="s">
        <v>222</v>
      </c>
      <c r="AC15" t="s">
        <v>810</v>
      </c>
      <c r="AD15" t="s">
        <v>811</v>
      </c>
      <c r="AE15" s="53"/>
      <c r="AF15" s="34"/>
      <c r="AG15" s="34"/>
      <c r="AH15" s="34"/>
    </row>
    <row r="16" spans="1:52">
      <c r="A16" s="51" t="s">
        <v>96</v>
      </c>
      <c r="B16" s="61" t="s">
        <v>327</v>
      </c>
      <c r="C16" s="49" t="s">
        <v>95</v>
      </c>
      <c r="D16" t="s">
        <v>345</v>
      </c>
      <c r="E16">
        <v>170</v>
      </c>
      <c r="F16" t="s">
        <v>111</v>
      </c>
      <c r="G16" t="s">
        <v>547</v>
      </c>
      <c r="H16" t="s">
        <v>257</v>
      </c>
      <c r="I16" t="s">
        <v>582</v>
      </c>
      <c r="J16" t="s">
        <v>812</v>
      </c>
      <c r="K16" t="s">
        <v>111</v>
      </c>
      <c r="L16" t="s">
        <v>111</v>
      </c>
      <c r="M16" t="s">
        <v>111</v>
      </c>
      <c r="N16" t="s">
        <v>297</v>
      </c>
      <c r="O16">
        <v>7.3170000000000002</v>
      </c>
      <c r="P16">
        <v>34.299999999999997</v>
      </c>
      <c r="Q16">
        <v>84.8</v>
      </c>
      <c r="R16" t="s">
        <v>264</v>
      </c>
      <c r="S16" t="s">
        <v>583</v>
      </c>
      <c r="T16" t="s">
        <v>813</v>
      </c>
      <c r="U16" t="s">
        <v>240</v>
      </c>
      <c r="V16" t="s">
        <v>814</v>
      </c>
      <c r="W16" t="s">
        <v>815</v>
      </c>
      <c r="X16" t="s">
        <v>816</v>
      </c>
      <c r="Y16" t="s">
        <v>817</v>
      </c>
      <c r="Z16" t="s">
        <v>142</v>
      </c>
      <c r="AA16" t="s">
        <v>818</v>
      </c>
      <c r="AB16" t="s">
        <v>819</v>
      </c>
      <c r="AC16" t="s">
        <v>820</v>
      </c>
      <c r="AD16" t="s">
        <v>821</v>
      </c>
      <c r="AE16" s="53"/>
      <c r="AF16" s="34"/>
      <c r="AG16" s="34"/>
      <c r="AH16" s="34"/>
    </row>
    <row r="17" spans="1:34">
      <c r="A17" s="51" t="s">
        <v>97</v>
      </c>
      <c r="B17" s="61" t="s">
        <v>822</v>
      </c>
      <c r="C17" s="49" t="s">
        <v>95</v>
      </c>
      <c r="D17" t="s">
        <v>823</v>
      </c>
      <c r="E17">
        <v>298</v>
      </c>
      <c r="F17" t="s">
        <v>111</v>
      </c>
      <c r="G17" t="s">
        <v>555</v>
      </c>
      <c r="H17" t="s">
        <v>249</v>
      </c>
      <c r="I17" t="s">
        <v>824</v>
      </c>
      <c r="J17" t="s">
        <v>825</v>
      </c>
      <c r="K17" t="s">
        <v>111</v>
      </c>
      <c r="L17" t="s">
        <v>111</v>
      </c>
      <c r="M17" t="s">
        <v>111</v>
      </c>
      <c r="N17" t="s">
        <v>297</v>
      </c>
      <c r="O17">
        <v>7.2679999999999998</v>
      </c>
      <c r="P17">
        <v>35.4</v>
      </c>
      <c r="Q17">
        <v>102</v>
      </c>
      <c r="R17" t="s">
        <v>366</v>
      </c>
      <c r="S17" t="s">
        <v>396</v>
      </c>
      <c r="T17" t="s">
        <v>826</v>
      </c>
      <c r="U17" t="s">
        <v>192</v>
      </c>
      <c r="V17" t="s">
        <v>672</v>
      </c>
      <c r="W17" t="s">
        <v>762</v>
      </c>
      <c r="X17" t="s">
        <v>827</v>
      </c>
      <c r="Y17" t="s">
        <v>828</v>
      </c>
      <c r="Z17" t="s">
        <v>183</v>
      </c>
      <c r="AA17" t="s">
        <v>440</v>
      </c>
      <c r="AB17" t="s">
        <v>485</v>
      </c>
      <c r="AC17" t="s">
        <v>829</v>
      </c>
      <c r="AD17" t="s">
        <v>190</v>
      </c>
      <c r="AE17" s="53"/>
      <c r="AF17" s="34"/>
      <c r="AG17" s="34"/>
      <c r="AH17" s="34"/>
    </row>
    <row r="18" spans="1:34">
      <c r="A18" s="65" t="s">
        <v>98</v>
      </c>
      <c r="B18" s="61" t="s">
        <v>830</v>
      </c>
      <c r="C18" s="49" t="s">
        <v>95</v>
      </c>
      <c r="D18" t="s">
        <v>482</v>
      </c>
      <c r="E18">
        <v>293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831</v>
      </c>
      <c r="O18">
        <v>7.2720000000000002</v>
      </c>
      <c r="P18">
        <v>35.700000000000003</v>
      </c>
      <c r="Q18">
        <v>107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 t="s">
        <v>832</v>
      </c>
      <c r="C19" s="49" t="s">
        <v>95</v>
      </c>
      <c r="D19" t="s">
        <v>364</v>
      </c>
      <c r="E19">
        <v>235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252</v>
      </c>
      <c r="O19">
        <v>7.343</v>
      </c>
      <c r="P19">
        <v>30.3</v>
      </c>
      <c r="Q19">
        <v>105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331</v>
      </c>
      <c r="C20" s="49" t="s">
        <v>95</v>
      </c>
      <c r="D20" t="s">
        <v>364</v>
      </c>
      <c r="E20">
        <v>276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833</v>
      </c>
      <c r="O20">
        <v>7.3940000000000001</v>
      </c>
      <c r="P20">
        <v>29.3</v>
      </c>
      <c r="Q20">
        <v>105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834</v>
      </c>
      <c r="C21" s="49" t="s">
        <v>95</v>
      </c>
      <c r="D21" t="s">
        <v>583</v>
      </c>
      <c r="E21">
        <v>299</v>
      </c>
      <c r="F21" t="s">
        <v>111</v>
      </c>
      <c r="G21" t="s">
        <v>547</v>
      </c>
      <c r="H21" t="s">
        <v>257</v>
      </c>
      <c r="I21" t="s">
        <v>582</v>
      </c>
      <c r="J21" t="s">
        <v>631</v>
      </c>
      <c r="K21" t="s">
        <v>111</v>
      </c>
      <c r="L21" t="s">
        <v>111</v>
      </c>
      <c r="M21" t="s">
        <v>111</v>
      </c>
      <c r="N21" t="s">
        <v>245</v>
      </c>
      <c r="O21">
        <v>7.35</v>
      </c>
      <c r="P21">
        <v>32.700000000000003</v>
      </c>
      <c r="Q21">
        <v>101</v>
      </c>
      <c r="R21" t="s">
        <v>462</v>
      </c>
      <c r="S21" t="s">
        <v>190</v>
      </c>
      <c r="T21" t="s">
        <v>835</v>
      </c>
      <c r="U21" t="s">
        <v>136</v>
      </c>
      <c r="V21" t="s">
        <v>836</v>
      </c>
      <c r="W21" t="s">
        <v>235</v>
      </c>
      <c r="X21" t="s">
        <v>837</v>
      </c>
      <c r="Y21" t="s">
        <v>838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53"/>
      <c r="AF21" s="34"/>
      <c r="AG21" s="34"/>
      <c r="AH21" s="34"/>
    </row>
    <row r="22" spans="1:34">
      <c r="A22" s="51" t="s">
        <v>102</v>
      </c>
      <c r="B22" s="61" t="s">
        <v>839</v>
      </c>
      <c r="C22" s="49" t="s">
        <v>95</v>
      </c>
      <c r="D22" t="s">
        <v>583</v>
      </c>
      <c r="E22">
        <v>295</v>
      </c>
      <c r="F22" t="s">
        <v>111</v>
      </c>
      <c r="G22" t="s">
        <v>840</v>
      </c>
      <c r="H22" t="s">
        <v>165</v>
      </c>
      <c r="I22" t="s">
        <v>841</v>
      </c>
      <c r="J22" t="s">
        <v>842</v>
      </c>
      <c r="K22" t="s">
        <v>111</v>
      </c>
      <c r="L22" t="s">
        <v>111</v>
      </c>
      <c r="M22" t="s">
        <v>111</v>
      </c>
      <c r="N22" t="s">
        <v>715</v>
      </c>
      <c r="O22">
        <v>7.4169999999999998</v>
      </c>
      <c r="P22">
        <v>33.6</v>
      </c>
      <c r="Q22">
        <v>94.2</v>
      </c>
      <c r="R22" t="s">
        <v>843</v>
      </c>
      <c r="S22" t="s">
        <v>377</v>
      </c>
      <c r="T22" t="s">
        <v>844</v>
      </c>
      <c r="U22" t="s">
        <v>120</v>
      </c>
      <c r="V22" t="s">
        <v>845</v>
      </c>
      <c r="W22" t="s">
        <v>843</v>
      </c>
      <c r="X22" t="s">
        <v>846</v>
      </c>
      <c r="Y22" t="s">
        <v>847</v>
      </c>
      <c r="Z22" t="s">
        <v>197</v>
      </c>
      <c r="AA22" t="s">
        <v>591</v>
      </c>
      <c r="AB22" t="s">
        <v>634</v>
      </c>
      <c r="AC22" t="s">
        <v>848</v>
      </c>
      <c r="AD22" t="s">
        <v>849</v>
      </c>
      <c r="AE22" s="34"/>
      <c r="AF22" s="34"/>
      <c r="AG22" s="34"/>
      <c r="AH22" s="34"/>
    </row>
    <row r="23" spans="1:34">
      <c r="A23" s="51" t="s">
        <v>103</v>
      </c>
      <c r="B23" s="61" t="s">
        <v>822</v>
      </c>
      <c r="C23" s="49" t="s">
        <v>95</v>
      </c>
      <c r="D23" t="s">
        <v>118</v>
      </c>
      <c r="E23">
        <v>224</v>
      </c>
      <c r="F23" t="s">
        <v>111</v>
      </c>
      <c r="G23" t="s">
        <v>451</v>
      </c>
      <c r="H23" t="s">
        <v>850</v>
      </c>
      <c r="I23" t="s">
        <v>851</v>
      </c>
      <c r="J23" t="s">
        <v>235</v>
      </c>
      <c r="K23" t="s">
        <v>111</v>
      </c>
      <c r="L23" t="s">
        <v>111</v>
      </c>
      <c r="M23" t="s">
        <v>111</v>
      </c>
      <c r="N23" t="s">
        <v>169</v>
      </c>
      <c r="O23">
        <v>7.3289999999999997</v>
      </c>
      <c r="P23">
        <v>28.8</v>
      </c>
      <c r="Q23">
        <v>93.6</v>
      </c>
      <c r="R23" t="s">
        <v>852</v>
      </c>
      <c r="S23" t="s">
        <v>853</v>
      </c>
      <c r="T23" t="s">
        <v>854</v>
      </c>
      <c r="U23" t="s">
        <v>419</v>
      </c>
      <c r="V23" t="s">
        <v>855</v>
      </c>
      <c r="W23" t="s">
        <v>299</v>
      </c>
      <c r="X23" t="s">
        <v>856</v>
      </c>
      <c r="Y23" t="s">
        <v>857</v>
      </c>
      <c r="Z23" t="s">
        <v>401</v>
      </c>
      <c r="AA23" t="s">
        <v>257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AE27" s="34"/>
      <c r="AF27" s="34"/>
      <c r="AG27" s="34"/>
    </row>
    <row r="28" spans="1:34">
      <c r="A28" s="46"/>
      <c r="B28" s="64"/>
      <c r="C28" s="6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DC96593-F1DF-4D0A-99BE-F819EE8AC1A7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70EE-532D-4749-BE10-0414228572C9}">
  <dimension ref="A1:AZ28"/>
  <sheetViews>
    <sheetView workbookViewId="0">
      <selection activeCell="B7" sqref="B7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858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1.73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45205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/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/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8428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0.27847222222222223</v>
      </c>
      <c r="C15" s="49" t="s">
        <v>95</v>
      </c>
      <c r="D15" t="s">
        <v>823</v>
      </c>
      <c r="E15">
        <v>284</v>
      </c>
      <c r="F15" t="s">
        <v>111</v>
      </c>
      <c r="G15" t="s">
        <v>204</v>
      </c>
      <c r="H15" t="s">
        <v>606</v>
      </c>
      <c r="I15" t="s">
        <v>859</v>
      </c>
      <c r="J15" t="s">
        <v>477</v>
      </c>
      <c r="K15">
        <v>5.0999999999999996</v>
      </c>
      <c r="L15" t="s">
        <v>111</v>
      </c>
      <c r="M15" t="s">
        <v>111</v>
      </c>
      <c r="N15" t="s">
        <v>860</v>
      </c>
      <c r="O15">
        <v>7.4859999999999998</v>
      </c>
      <c r="P15">
        <v>32.9</v>
      </c>
      <c r="Q15">
        <v>93.9</v>
      </c>
      <c r="R15" t="s">
        <v>295</v>
      </c>
      <c r="S15" t="s">
        <v>365</v>
      </c>
      <c r="T15" t="s">
        <v>395</v>
      </c>
      <c r="U15" t="s">
        <v>120</v>
      </c>
      <c r="V15" t="s">
        <v>861</v>
      </c>
      <c r="W15" t="s">
        <v>748</v>
      </c>
      <c r="X15" t="s">
        <v>862</v>
      </c>
      <c r="Y15" t="s">
        <v>863</v>
      </c>
      <c r="Z15" t="s">
        <v>297</v>
      </c>
      <c r="AA15" t="s">
        <v>403</v>
      </c>
      <c r="AB15" t="s">
        <v>116</v>
      </c>
      <c r="AC15" t="s">
        <v>864</v>
      </c>
      <c r="AD15" t="s">
        <v>865</v>
      </c>
      <c r="AE15" s="53">
        <v>135.1</v>
      </c>
      <c r="AF15" s="34">
        <v>17.3</v>
      </c>
      <c r="AG15" s="34">
        <v>23.8</v>
      </c>
      <c r="AH15" s="34">
        <v>1.1299999999999999</v>
      </c>
    </row>
    <row r="16" spans="1:52">
      <c r="A16" s="51" t="s">
        <v>96</v>
      </c>
      <c r="B16" s="61">
        <v>0.40416666666666667</v>
      </c>
      <c r="C16" s="49" t="s">
        <v>95</v>
      </c>
      <c r="D16" t="s">
        <v>153</v>
      </c>
      <c r="E16">
        <v>277</v>
      </c>
      <c r="F16" t="s">
        <v>111</v>
      </c>
      <c r="G16" t="s">
        <v>866</v>
      </c>
      <c r="H16" t="s">
        <v>867</v>
      </c>
      <c r="I16" t="s">
        <v>868</v>
      </c>
      <c r="J16" t="s">
        <v>748</v>
      </c>
      <c r="K16">
        <v>5.8</v>
      </c>
      <c r="L16" t="s">
        <v>111</v>
      </c>
      <c r="M16" t="s">
        <v>111</v>
      </c>
      <c r="N16" t="s">
        <v>869</v>
      </c>
      <c r="O16">
        <v>7.2939999999999996</v>
      </c>
      <c r="P16">
        <v>34.1</v>
      </c>
      <c r="Q16">
        <v>96.2</v>
      </c>
      <c r="R16" t="s">
        <v>272</v>
      </c>
      <c r="S16" t="s">
        <v>261</v>
      </c>
      <c r="T16" t="s">
        <v>870</v>
      </c>
      <c r="U16" t="s">
        <v>136</v>
      </c>
      <c r="V16" t="s">
        <v>871</v>
      </c>
      <c r="W16" t="s">
        <v>119</v>
      </c>
      <c r="X16" t="s">
        <v>872</v>
      </c>
      <c r="Y16" t="s">
        <v>873</v>
      </c>
      <c r="Z16" t="s">
        <v>229</v>
      </c>
      <c r="AA16" t="s">
        <v>305</v>
      </c>
      <c r="AB16" t="s">
        <v>860</v>
      </c>
      <c r="AC16" t="s">
        <v>543</v>
      </c>
      <c r="AD16" t="s">
        <v>345</v>
      </c>
      <c r="AE16" s="53">
        <v>140.30000000000001</v>
      </c>
      <c r="AF16" s="34">
        <v>15.7</v>
      </c>
      <c r="AG16" s="34">
        <v>28.1</v>
      </c>
      <c r="AH16" s="34">
        <v>2.23</v>
      </c>
    </row>
    <row r="17" spans="1:34">
      <c r="A17" s="51" t="s">
        <v>97</v>
      </c>
      <c r="B17" s="61">
        <v>0.41111111111111109</v>
      </c>
      <c r="C17" s="49" t="s">
        <v>95</v>
      </c>
      <c r="D17" t="s">
        <v>117</v>
      </c>
      <c r="E17">
        <v>290</v>
      </c>
      <c r="F17" t="s">
        <v>111</v>
      </c>
      <c r="G17" t="s">
        <v>874</v>
      </c>
      <c r="H17" t="s">
        <v>511</v>
      </c>
      <c r="I17" t="s">
        <v>875</v>
      </c>
      <c r="J17" t="s">
        <v>876</v>
      </c>
      <c r="K17">
        <v>6.2</v>
      </c>
      <c r="L17" t="s">
        <v>111</v>
      </c>
      <c r="M17" t="s">
        <v>111</v>
      </c>
      <c r="N17" t="s">
        <v>297</v>
      </c>
      <c r="O17">
        <v>7.2530000000000001</v>
      </c>
      <c r="P17">
        <v>34.5</v>
      </c>
      <c r="Q17">
        <v>105</v>
      </c>
      <c r="R17" t="s">
        <v>430</v>
      </c>
      <c r="S17" t="s">
        <v>190</v>
      </c>
      <c r="T17" t="s">
        <v>877</v>
      </c>
      <c r="U17" t="s">
        <v>356</v>
      </c>
      <c r="V17" t="s">
        <v>878</v>
      </c>
      <c r="W17" t="s">
        <v>879</v>
      </c>
      <c r="X17" t="s">
        <v>880</v>
      </c>
      <c r="Y17" t="s">
        <v>881</v>
      </c>
      <c r="Z17" t="s">
        <v>215</v>
      </c>
      <c r="AA17" t="s">
        <v>186</v>
      </c>
      <c r="AB17" t="s">
        <v>419</v>
      </c>
      <c r="AC17" t="s">
        <v>882</v>
      </c>
      <c r="AD17" t="s">
        <v>785</v>
      </c>
      <c r="AE17" s="53">
        <v>139.6</v>
      </c>
      <c r="AF17" s="34">
        <v>15.1</v>
      </c>
      <c r="AG17" s="34">
        <v>12.3</v>
      </c>
      <c r="AH17" s="34">
        <v>1.54</v>
      </c>
    </row>
    <row r="18" spans="1:34">
      <c r="A18" s="65" t="s">
        <v>98</v>
      </c>
      <c r="B18" s="61">
        <v>0.45277777777777778</v>
      </c>
      <c r="C18" s="49" t="s">
        <v>95</v>
      </c>
      <c r="D18" t="s">
        <v>378</v>
      </c>
      <c r="E18">
        <v>297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681</v>
      </c>
      <c r="O18">
        <v>7.3860000000000001</v>
      </c>
      <c r="P18">
        <v>26.3</v>
      </c>
      <c r="Q18">
        <v>106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>
        <v>0.49444444444444446</v>
      </c>
      <c r="C19" s="49" t="s">
        <v>95</v>
      </c>
      <c r="D19" t="s">
        <v>110</v>
      </c>
      <c r="E19">
        <v>286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371</v>
      </c>
      <c r="O19">
        <v>7.3140000000000001</v>
      </c>
      <c r="P19">
        <v>37.6</v>
      </c>
      <c r="Q19">
        <v>31.4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>
        <v>0.53472222222222221</v>
      </c>
      <c r="C20" s="49" t="s">
        <v>95</v>
      </c>
      <c r="D20" t="s">
        <v>237</v>
      </c>
      <c r="E20">
        <v>291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883</v>
      </c>
      <c r="O20">
        <v>7.36</v>
      </c>
      <c r="P20">
        <v>29.7</v>
      </c>
      <c r="Q20">
        <v>37.4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450</v>
      </c>
      <c r="C21" s="49" t="s">
        <v>95</v>
      </c>
      <c r="D21" t="s">
        <v>512</v>
      </c>
      <c r="E21">
        <v>236</v>
      </c>
      <c r="F21" t="s">
        <v>111</v>
      </c>
      <c r="G21" t="s">
        <v>884</v>
      </c>
      <c r="H21" t="s">
        <v>130</v>
      </c>
      <c r="I21" t="s">
        <v>274</v>
      </c>
      <c r="J21" t="s">
        <v>842</v>
      </c>
      <c r="K21">
        <v>6.9</v>
      </c>
      <c r="L21" t="s">
        <v>111</v>
      </c>
      <c r="M21" t="s">
        <v>111</v>
      </c>
      <c r="N21" t="s">
        <v>130</v>
      </c>
      <c r="O21">
        <v>7.37</v>
      </c>
      <c r="P21">
        <v>32.4</v>
      </c>
      <c r="Q21">
        <v>37.200000000000003</v>
      </c>
      <c r="R21" t="s">
        <v>842</v>
      </c>
      <c r="S21" t="s">
        <v>537</v>
      </c>
      <c r="T21" t="s">
        <v>885</v>
      </c>
      <c r="U21" t="s">
        <v>178</v>
      </c>
      <c r="V21" t="s">
        <v>886</v>
      </c>
      <c r="W21" t="s">
        <v>887</v>
      </c>
      <c r="X21" t="s">
        <v>888</v>
      </c>
      <c r="Y21" t="s">
        <v>889</v>
      </c>
      <c r="Z21" t="s">
        <v>257</v>
      </c>
      <c r="AA21" t="s">
        <v>111</v>
      </c>
      <c r="AB21" t="s">
        <v>111</v>
      </c>
      <c r="AC21" t="s">
        <v>111</v>
      </c>
      <c r="AD21" t="s">
        <v>111</v>
      </c>
      <c r="AE21" s="53">
        <v>138.30000000000001</v>
      </c>
      <c r="AF21" s="34">
        <v>19.899999999999999</v>
      </c>
      <c r="AG21" s="34">
        <v>27.6</v>
      </c>
      <c r="AH21" s="34">
        <v>1.24</v>
      </c>
    </row>
    <row r="22" spans="1:34">
      <c r="A22" s="51" t="s">
        <v>102</v>
      </c>
      <c r="B22" s="61" t="s">
        <v>458</v>
      </c>
      <c r="C22" s="49" t="s">
        <v>95</v>
      </c>
      <c r="D22" t="s">
        <v>176</v>
      </c>
      <c r="E22">
        <v>294</v>
      </c>
      <c r="F22" t="s">
        <v>111</v>
      </c>
      <c r="G22" t="s">
        <v>890</v>
      </c>
      <c r="H22" t="s">
        <v>198</v>
      </c>
      <c r="I22" t="s">
        <v>234</v>
      </c>
      <c r="J22" t="s">
        <v>734</v>
      </c>
      <c r="K22">
        <v>6.9</v>
      </c>
      <c r="L22" t="s">
        <v>111</v>
      </c>
      <c r="M22" t="s">
        <v>111</v>
      </c>
      <c r="N22" t="s">
        <v>691</v>
      </c>
      <c r="O22">
        <v>7.3689999999999998</v>
      </c>
      <c r="P22">
        <v>37.9</v>
      </c>
      <c r="Q22">
        <v>33.799999999999997</v>
      </c>
      <c r="R22" t="s">
        <v>462</v>
      </c>
      <c r="S22" t="s">
        <v>209</v>
      </c>
      <c r="T22" t="s">
        <v>891</v>
      </c>
      <c r="U22" t="s">
        <v>178</v>
      </c>
      <c r="V22" t="s">
        <v>892</v>
      </c>
      <c r="W22" t="s">
        <v>893</v>
      </c>
      <c r="X22" t="s">
        <v>894</v>
      </c>
      <c r="Y22" t="s">
        <v>895</v>
      </c>
      <c r="Z22" t="s">
        <v>197</v>
      </c>
      <c r="AA22" t="s">
        <v>728</v>
      </c>
      <c r="AB22" t="s">
        <v>385</v>
      </c>
      <c r="AC22" t="s">
        <v>896</v>
      </c>
      <c r="AD22" t="s">
        <v>897</v>
      </c>
      <c r="AE22" s="34">
        <v>129.6</v>
      </c>
      <c r="AF22" s="34">
        <v>13.3</v>
      </c>
      <c r="AG22" s="34">
        <v>14.4</v>
      </c>
      <c r="AH22" s="34">
        <v>1.1000000000000001</v>
      </c>
    </row>
    <row r="23" spans="1:34">
      <c r="A23" s="51" t="s">
        <v>103</v>
      </c>
      <c r="B23" s="61" t="s">
        <v>898</v>
      </c>
      <c r="C23" s="49" t="s">
        <v>95</v>
      </c>
      <c r="D23" t="s">
        <v>386</v>
      </c>
      <c r="E23">
        <v>177</v>
      </c>
      <c r="F23" t="s">
        <v>111</v>
      </c>
      <c r="G23" t="s">
        <v>199</v>
      </c>
      <c r="H23" t="s">
        <v>513</v>
      </c>
      <c r="I23" t="s">
        <v>899</v>
      </c>
      <c r="J23" t="s">
        <v>364</v>
      </c>
      <c r="K23">
        <v>6.7</v>
      </c>
      <c r="L23" t="s">
        <v>111</v>
      </c>
      <c r="M23" t="s">
        <v>111</v>
      </c>
      <c r="N23" t="s">
        <v>900</v>
      </c>
      <c r="O23">
        <v>7.4130000000000003</v>
      </c>
      <c r="P23">
        <v>40.9</v>
      </c>
      <c r="Q23">
        <v>27.9</v>
      </c>
      <c r="R23" t="s">
        <v>901</v>
      </c>
      <c r="S23" t="s">
        <v>902</v>
      </c>
      <c r="T23" t="s">
        <v>903</v>
      </c>
      <c r="U23" t="s">
        <v>120</v>
      </c>
      <c r="V23" t="s">
        <v>904</v>
      </c>
      <c r="W23" t="s">
        <v>905</v>
      </c>
      <c r="X23" t="s">
        <v>906</v>
      </c>
      <c r="Y23" t="s">
        <v>907</v>
      </c>
      <c r="Z23" t="s">
        <v>257</v>
      </c>
      <c r="AA23" t="s">
        <v>386</v>
      </c>
      <c r="AB23" t="s">
        <v>111</v>
      </c>
      <c r="AC23" t="s">
        <v>111</v>
      </c>
      <c r="AD23" t="s">
        <v>111</v>
      </c>
      <c r="AE23" s="34">
        <v>96.6</v>
      </c>
      <c r="AF23" s="34">
        <v>7.9</v>
      </c>
      <c r="AG23" s="34">
        <v>14.4</v>
      </c>
      <c r="AH23" s="34">
        <v>1.96</v>
      </c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AE27" s="34"/>
      <c r="AF27" s="34"/>
      <c r="AG27" s="34"/>
    </row>
    <row r="28" spans="1:34">
      <c r="A28" s="46"/>
      <c r="B28" s="64"/>
      <c r="C28" s="6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CA2C68E-CEA9-4884-A34F-1E2D67912ED2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989E-69E7-4ED1-AD9C-8F81F81A9974}">
  <dimension ref="A1:AZ28"/>
  <sheetViews>
    <sheetView workbookViewId="0">
      <selection activeCell="C9" sqref="C9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 t="s">
        <v>908</v>
      </c>
      <c r="C4" s="81"/>
      <c r="D4" s="42"/>
      <c r="E4" s="41" t="s">
        <v>4</v>
      </c>
      <c r="F4" s="92" t="s">
        <v>909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2</v>
      </c>
      <c r="C5" s="81"/>
      <c r="D5" s="42"/>
      <c r="E5" s="41" t="s">
        <v>7</v>
      </c>
      <c r="F5" s="116" t="s">
        <v>910</v>
      </c>
      <c r="G5" s="11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45258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63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63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4545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0.26874999999999999</v>
      </c>
      <c r="C15" s="49" t="s">
        <v>95</v>
      </c>
      <c r="D15" s="49">
        <v>78</v>
      </c>
      <c r="E15" s="49">
        <v>283</v>
      </c>
      <c r="F15" s="49"/>
      <c r="G15" s="62">
        <v>5.98</v>
      </c>
      <c r="H15" s="62">
        <v>12</v>
      </c>
      <c r="I15" s="53">
        <v>37.1</v>
      </c>
      <c r="J15" s="53">
        <v>258</v>
      </c>
      <c r="K15" s="53">
        <v>3.8</v>
      </c>
      <c r="L15" s="53"/>
      <c r="M15" s="63">
        <f t="shared" ref="M15:M26" si="0">(L15/(((H15*10)/64500)*10^6))*100</f>
        <v>0</v>
      </c>
      <c r="N15" s="32">
        <v>1.9</v>
      </c>
      <c r="O15" s="32">
        <v>7.4989999999999997</v>
      </c>
      <c r="P15" s="32">
        <v>34.6</v>
      </c>
      <c r="Q15" s="32">
        <v>84.6</v>
      </c>
      <c r="R15" s="53">
        <v>9</v>
      </c>
      <c r="S15" s="33">
        <v>24</v>
      </c>
      <c r="T15" s="53">
        <v>133</v>
      </c>
      <c r="U15" s="53">
        <v>0.7</v>
      </c>
      <c r="V15" s="53">
        <v>16.66</v>
      </c>
      <c r="W15" s="53">
        <v>443</v>
      </c>
      <c r="X15" s="53">
        <v>56.13</v>
      </c>
      <c r="Y15" s="53">
        <v>172.73</v>
      </c>
      <c r="Z15" s="53">
        <v>11</v>
      </c>
      <c r="AA15" s="53">
        <v>8.8000000000000007</v>
      </c>
      <c r="AB15" s="53">
        <v>1.5</v>
      </c>
      <c r="AC15" s="53">
        <v>66.7</v>
      </c>
      <c r="AD15" s="53">
        <v>60.8</v>
      </c>
      <c r="AE15" s="53">
        <v>115.6</v>
      </c>
      <c r="AF15" s="34">
        <v>15</v>
      </c>
      <c r="AG15" s="34">
        <v>25.7</v>
      </c>
      <c r="AH15" s="34">
        <v>1.54</v>
      </c>
    </row>
    <row r="16" spans="1:52">
      <c r="A16" s="51" t="s">
        <v>96</v>
      </c>
      <c r="B16" s="61">
        <v>0.39027777777777778</v>
      </c>
      <c r="C16" s="49" t="s">
        <v>95</v>
      </c>
      <c r="D16" s="49">
        <v>57</v>
      </c>
      <c r="E16" s="49">
        <v>182</v>
      </c>
      <c r="F16" s="49"/>
      <c r="G16" s="62">
        <v>3.24</v>
      </c>
      <c r="H16" s="53">
        <v>3.7</v>
      </c>
      <c r="I16" s="53">
        <v>20</v>
      </c>
      <c r="J16" s="53">
        <v>198</v>
      </c>
      <c r="K16" s="53">
        <v>4.7</v>
      </c>
      <c r="L16" s="53"/>
      <c r="M16" s="63">
        <f t="shared" si="0"/>
        <v>0</v>
      </c>
      <c r="N16" s="32">
        <v>30</v>
      </c>
      <c r="O16" s="32">
        <v>6.9560000000000004</v>
      </c>
      <c r="P16" s="32">
        <v>9.5</v>
      </c>
      <c r="Q16" s="32">
        <v>116</v>
      </c>
      <c r="R16" s="53">
        <v>256</v>
      </c>
      <c r="S16" s="53">
        <v>61</v>
      </c>
      <c r="T16" s="53">
        <v>332</v>
      </c>
      <c r="U16" s="53">
        <v>1.4</v>
      </c>
      <c r="V16" s="53">
        <v>19.03</v>
      </c>
      <c r="W16" s="53">
        <v>316</v>
      </c>
      <c r="X16" s="53">
        <v>244.23</v>
      </c>
      <c r="Y16" s="53">
        <v>525.59</v>
      </c>
      <c r="Z16" s="53">
        <v>4</v>
      </c>
      <c r="AA16" s="53">
        <v>6.3</v>
      </c>
      <c r="AB16" s="53">
        <v>1.5</v>
      </c>
      <c r="AC16" s="53">
        <v>68.7</v>
      </c>
      <c r="AD16" s="53">
        <v>57.3</v>
      </c>
      <c r="AE16" s="53"/>
      <c r="AF16" s="34">
        <v>27.5</v>
      </c>
      <c r="AG16" s="34"/>
      <c r="AH16" s="34"/>
    </row>
    <row r="17" spans="1:34">
      <c r="A17" s="51" t="s">
        <v>97</v>
      </c>
      <c r="B17" s="61">
        <v>0.3972222222222222</v>
      </c>
      <c r="C17" s="49" t="s">
        <v>95</v>
      </c>
      <c r="D17" s="49">
        <v>52</v>
      </c>
      <c r="E17" s="49">
        <v>287</v>
      </c>
      <c r="F17" s="49"/>
      <c r="G17" s="53">
        <v>3.78</v>
      </c>
      <c r="H17" s="53">
        <v>5.8</v>
      </c>
      <c r="I17" s="53">
        <v>17.3</v>
      </c>
      <c r="J17" s="53">
        <v>149</v>
      </c>
      <c r="K17" s="53">
        <v>7.7</v>
      </c>
      <c r="L17" s="53"/>
      <c r="M17" s="63">
        <f t="shared" si="0"/>
        <v>0</v>
      </c>
      <c r="N17" s="32">
        <v>30</v>
      </c>
      <c r="O17" s="32">
        <v>6.9</v>
      </c>
      <c r="P17" s="32">
        <v>18.100000000000001</v>
      </c>
      <c r="Q17" s="32">
        <v>116</v>
      </c>
      <c r="R17" s="53">
        <v>318</v>
      </c>
      <c r="S17" s="53">
        <v>69</v>
      </c>
      <c r="T17" s="53">
        <v>622</v>
      </c>
      <c r="U17" s="53">
        <v>1.3</v>
      </c>
      <c r="V17" s="53">
        <v>24.81</v>
      </c>
      <c r="W17" s="53">
        <v>336</v>
      </c>
      <c r="X17" s="53">
        <v>219.02</v>
      </c>
      <c r="Y17" s="53">
        <v>464.55</v>
      </c>
      <c r="Z17" s="53">
        <v>4</v>
      </c>
      <c r="AA17" s="53">
        <v>7.5</v>
      </c>
      <c r="AB17" s="53">
        <v>1.3</v>
      </c>
      <c r="AC17" s="53">
        <v>71.400000000000006</v>
      </c>
      <c r="AD17" s="53">
        <v>63.9</v>
      </c>
      <c r="AE17" s="53"/>
      <c r="AF17" s="34"/>
      <c r="AG17" s="34"/>
      <c r="AH17" s="34"/>
    </row>
    <row r="18" spans="1:34">
      <c r="A18" s="65" t="s">
        <v>98</v>
      </c>
      <c r="B18" s="61">
        <v>0.43888888888888888</v>
      </c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/>
      <c r="O18" s="32">
        <v>7.1920000000000002</v>
      </c>
      <c r="P18" s="32">
        <v>11.2</v>
      </c>
      <c r="Q18" s="32">
        <v>131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>
        <v>0.48055555555555557</v>
      </c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>
        <v>0.52222222222222225</v>
      </c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>
        <v>0.52916666666666667</v>
      </c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 t="shared" si="0"/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34"/>
      <c r="AG21" s="34"/>
      <c r="AH21" s="34"/>
    </row>
    <row r="22" spans="1:34">
      <c r="A22" s="51" t="s">
        <v>102</v>
      </c>
      <c r="B22" s="61" t="s">
        <v>911</v>
      </c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 t="shared" si="0"/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103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s="49"/>
      <c r="E26" s="49"/>
      <c r="F26" s="49"/>
      <c r="G26" s="53"/>
      <c r="H26" s="53"/>
      <c r="I26" s="53"/>
      <c r="J26" s="53"/>
      <c r="K26" s="53"/>
      <c r="L26" s="53"/>
      <c r="M26" s="63" t="e">
        <f t="shared" si="0"/>
        <v>#DIV/0!</v>
      </c>
      <c r="N26" s="32"/>
      <c r="O26" s="32"/>
      <c r="P26" s="32"/>
      <c r="Q26" s="32"/>
      <c r="R26" s="53"/>
      <c r="S26" s="53"/>
      <c r="T26" s="53"/>
      <c r="U26" s="53"/>
      <c r="V26" s="53"/>
      <c r="W26" s="53"/>
      <c r="X26" s="53"/>
      <c r="Y26" s="53"/>
      <c r="Z26" s="53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EC131EFF-C873-4AE3-A44E-CC318920133C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A19F-09B2-4B2D-A179-25D4A5491688}">
  <dimension ref="A1:AZ28"/>
  <sheetViews>
    <sheetView workbookViewId="0">
      <selection activeCell="B9" sqref="B9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118" t="s">
        <v>912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2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45258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63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63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4546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 t="s">
        <v>913</v>
      </c>
      <c r="C15" s="49" t="s">
        <v>95</v>
      </c>
      <c r="D15">
        <v>76</v>
      </c>
      <c r="E15">
        <v>295</v>
      </c>
      <c r="F15" t="s">
        <v>111</v>
      </c>
      <c r="G15" t="s">
        <v>914</v>
      </c>
      <c r="H15" t="s">
        <v>355</v>
      </c>
      <c r="I15" t="s">
        <v>915</v>
      </c>
      <c r="J15" t="s">
        <v>916</v>
      </c>
      <c r="K15">
        <v>5.5</v>
      </c>
      <c r="L15" t="s">
        <v>111</v>
      </c>
      <c r="M15" t="s">
        <v>111</v>
      </c>
      <c r="N15" t="s">
        <v>401</v>
      </c>
      <c r="O15">
        <v>7.5019999999999998</v>
      </c>
      <c r="P15">
        <v>38.200000000000003</v>
      </c>
      <c r="Q15">
        <v>72</v>
      </c>
      <c r="R15" t="s">
        <v>388</v>
      </c>
      <c r="S15" t="s">
        <v>117</v>
      </c>
      <c r="T15" t="s">
        <v>917</v>
      </c>
      <c r="U15" t="s">
        <v>240</v>
      </c>
      <c r="V15" t="s">
        <v>918</v>
      </c>
      <c r="W15" t="s">
        <v>919</v>
      </c>
      <c r="X15" t="s">
        <v>920</v>
      </c>
      <c r="Y15" t="s">
        <v>921</v>
      </c>
      <c r="Z15" t="s">
        <v>197</v>
      </c>
      <c r="AA15" t="s">
        <v>513</v>
      </c>
      <c r="AB15" t="s">
        <v>485</v>
      </c>
      <c r="AC15" t="s">
        <v>922</v>
      </c>
      <c r="AD15" t="s">
        <v>923</v>
      </c>
      <c r="AE15" s="53"/>
      <c r="AF15" s="34">
        <v>17.399999999999999</v>
      </c>
      <c r="AG15" s="34">
        <v>24</v>
      </c>
      <c r="AH15" s="34">
        <v>1.62</v>
      </c>
    </row>
    <row r="16" spans="1:52">
      <c r="A16" s="51" t="s">
        <v>96</v>
      </c>
      <c r="B16" s="61">
        <v>0.39930555555555558</v>
      </c>
      <c r="C16" s="49" t="s">
        <v>95</v>
      </c>
      <c r="D16" t="s">
        <v>350</v>
      </c>
      <c r="E16">
        <v>204</v>
      </c>
      <c r="F16" t="s">
        <v>111</v>
      </c>
      <c r="G16" t="s">
        <v>924</v>
      </c>
      <c r="H16" t="s">
        <v>174</v>
      </c>
      <c r="I16" t="s">
        <v>546</v>
      </c>
      <c r="J16" t="s">
        <v>925</v>
      </c>
      <c r="K16">
        <v>6.4</v>
      </c>
      <c r="L16" t="s">
        <v>111</v>
      </c>
      <c r="M16" t="s">
        <v>111</v>
      </c>
      <c r="N16" t="s">
        <v>390</v>
      </c>
      <c r="O16">
        <v>7.3410000000000002</v>
      </c>
      <c r="P16">
        <v>39</v>
      </c>
      <c r="Q16">
        <v>86.8</v>
      </c>
      <c r="R16" t="s">
        <v>261</v>
      </c>
      <c r="S16" t="s">
        <v>366</v>
      </c>
      <c r="T16" t="s">
        <v>926</v>
      </c>
      <c r="U16" t="s">
        <v>860</v>
      </c>
      <c r="V16" t="s">
        <v>927</v>
      </c>
      <c r="W16" t="s">
        <v>406</v>
      </c>
      <c r="X16" t="s">
        <v>928</v>
      </c>
      <c r="Y16" t="s">
        <v>857</v>
      </c>
      <c r="Z16" t="s">
        <v>401</v>
      </c>
      <c r="AA16" t="s">
        <v>371</v>
      </c>
      <c r="AB16" t="s">
        <v>485</v>
      </c>
      <c r="AC16" t="s">
        <v>929</v>
      </c>
      <c r="AD16" t="s">
        <v>190</v>
      </c>
      <c r="AE16" s="53">
        <v>124.1</v>
      </c>
      <c r="AF16" s="34">
        <v>11.3</v>
      </c>
      <c r="AG16" s="34"/>
      <c r="AH16" s="34">
        <v>3.93</v>
      </c>
    </row>
    <row r="17" spans="1:34">
      <c r="A17" s="51" t="s">
        <v>97</v>
      </c>
      <c r="B17" s="61">
        <v>0.40625</v>
      </c>
      <c r="C17" s="49" t="s">
        <v>95</v>
      </c>
      <c r="D17" t="s">
        <v>378</v>
      </c>
      <c r="E17">
        <v>286</v>
      </c>
      <c r="F17" t="s">
        <v>111</v>
      </c>
      <c r="G17" t="s">
        <v>930</v>
      </c>
      <c r="H17" t="s">
        <v>158</v>
      </c>
      <c r="I17" t="s">
        <v>297</v>
      </c>
      <c r="J17" t="s">
        <v>931</v>
      </c>
      <c r="K17">
        <v>5.6</v>
      </c>
      <c r="L17" t="s">
        <v>111</v>
      </c>
      <c r="M17" t="s">
        <v>111</v>
      </c>
      <c r="N17" t="s">
        <v>297</v>
      </c>
      <c r="O17" t="s">
        <v>111</v>
      </c>
      <c r="P17" t="s">
        <v>111</v>
      </c>
      <c r="Q17" t="s">
        <v>111</v>
      </c>
      <c r="R17" t="s">
        <v>190</v>
      </c>
      <c r="S17" t="s">
        <v>118</v>
      </c>
      <c r="T17" t="s">
        <v>780</v>
      </c>
      <c r="U17" t="s">
        <v>473</v>
      </c>
      <c r="V17" t="s">
        <v>932</v>
      </c>
      <c r="W17" t="s">
        <v>843</v>
      </c>
      <c r="X17" t="s">
        <v>933</v>
      </c>
      <c r="Y17" t="s">
        <v>934</v>
      </c>
      <c r="Z17" t="s">
        <v>401</v>
      </c>
      <c r="AA17" t="s">
        <v>833</v>
      </c>
      <c r="AB17" t="s">
        <v>116</v>
      </c>
      <c r="AC17" t="s">
        <v>447</v>
      </c>
      <c r="AD17" t="s">
        <v>386</v>
      </c>
      <c r="AE17" s="53">
        <v>120.5</v>
      </c>
      <c r="AF17" s="34">
        <v>17.600000000000001</v>
      </c>
      <c r="AG17" s="34"/>
      <c r="AH17" s="34">
        <v>2.4700000000000002</v>
      </c>
    </row>
    <row r="18" spans="1:34">
      <c r="A18" s="65" t="s">
        <v>98</v>
      </c>
      <c r="B18" s="61">
        <v>0.44791666666666669</v>
      </c>
      <c r="C18" s="49" t="s">
        <v>95</v>
      </c>
      <c r="D18" t="s">
        <v>261</v>
      </c>
      <c r="E18">
        <v>298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141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>
        <v>0.48958333333333331</v>
      </c>
      <c r="C19" s="49" t="s">
        <v>95</v>
      </c>
      <c r="D19" t="s">
        <v>110</v>
      </c>
      <c r="E19">
        <v>290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935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>
        <v>0.53125</v>
      </c>
      <c r="C20" s="49" t="s">
        <v>95</v>
      </c>
      <c r="D20" t="s">
        <v>358</v>
      </c>
      <c r="E20">
        <v>286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436</v>
      </c>
      <c r="O20" t="s">
        <v>111</v>
      </c>
      <c r="P20" t="s">
        <v>111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>
        <v>0.53819444444444442</v>
      </c>
      <c r="C21" s="49" t="s">
        <v>95</v>
      </c>
      <c r="D21" t="s">
        <v>365</v>
      </c>
      <c r="E21">
        <v>292</v>
      </c>
      <c r="F21" t="s">
        <v>111</v>
      </c>
      <c r="G21" t="s">
        <v>936</v>
      </c>
      <c r="H21" t="s">
        <v>850</v>
      </c>
      <c r="I21" t="s">
        <v>937</v>
      </c>
      <c r="J21" t="s">
        <v>938</v>
      </c>
      <c r="K21">
        <v>4.5999999999999996</v>
      </c>
      <c r="L21" t="s">
        <v>111</v>
      </c>
      <c r="M21" t="s">
        <v>111</v>
      </c>
      <c r="N21" t="s">
        <v>189</v>
      </c>
      <c r="O21" t="s">
        <v>111</v>
      </c>
      <c r="P21" t="s">
        <v>111</v>
      </c>
      <c r="Q21" t="s">
        <v>111</v>
      </c>
      <c r="R21" t="s">
        <v>939</v>
      </c>
      <c r="S21" t="s">
        <v>502</v>
      </c>
      <c r="T21" t="s">
        <v>825</v>
      </c>
      <c r="U21" t="s">
        <v>136</v>
      </c>
      <c r="V21" t="s">
        <v>940</v>
      </c>
      <c r="W21" t="s">
        <v>941</v>
      </c>
      <c r="X21" t="s">
        <v>942</v>
      </c>
      <c r="Y21" t="s">
        <v>943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53">
        <v>100.1</v>
      </c>
      <c r="AF21" s="34">
        <v>14.2</v>
      </c>
      <c r="AG21" s="34">
        <v>30.8</v>
      </c>
      <c r="AH21" s="34">
        <v>1.46</v>
      </c>
    </row>
    <row r="22" spans="1:34">
      <c r="A22" s="51" t="s">
        <v>102</v>
      </c>
      <c r="B22" s="61" t="s">
        <v>944</v>
      </c>
      <c r="C22" s="49" t="s">
        <v>95</v>
      </c>
      <c r="D22" t="s">
        <v>377</v>
      </c>
      <c r="E22">
        <v>187</v>
      </c>
      <c r="F22" t="s">
        <v>111</v>
      </c>
      <c r="G22" t="s">
        <v>945</v>
      </c>
      <c r="H22" t="s">
        <v>189</v>
      </c>
      <c r="I22" t="s">
        <v>899</v>
      </c>
      <c r="J22" t="s">
        <v>254</v>
      </c>
      <c r="K22">
        <v>4.8</v>
      </c>
      <c r="L22" t="s">
        <v>111</v>
      </c>
      <c r="M22" t="s">
        <v>111</v>
      </c>
      <c r="N22" t="s">
        <v>197</v>
      </c>
      <c r="O22">
        <v>7.4649999999999999</v>
      </c>
      <c r="P22">
        <v>35.6</v>
      </c>
      <c r="Q22">
        <v>84.2</v>
      </c>
      <c r="R22" t="s">
        <v>946</v>
      </c>
      <c r="S22" t="s">
        <v>279</v>
      </c>
      <c r="T22" t="s">
        <v>947</v>
      </c>
      <c r="U22" t="s">
        <v>178</v>
      </c>
      <c r="V22" t="s">
        <v>948</v>
      </c>
      <c r="W22" t="s">
        <v>608</v>
      </c>
      <c r="X22" t="s">
        <v>949</v>
      </c>
      <c r="Y22" t="s">
        <v>950</v>
      </c>
      <c r="Z22" t="s">
        <v>401</v>
      </c>
      <c r="AA22" t="s">
        <v>429</v>
      </c>
      <c r="AB22" t="s">
        <v>900</v>
      </c>
      <c r="AC22" t="s">
        <v>951</v>
      </c>
      <c r="AD22" t="s">
        <v>952</v>
      </c>
      <c r="AE22" s="34">
        <v>115.4</v>
      </c>
      <c r="AF22" s="34">
        <v>15.5</v>
      </c>
      <c r="AG22" s="34">
        <v>20.2</v>
      </c>
      <c r="AH22" s="34">
        <v>1.48</v>
      </c>
    </row>
    <row r="23" spans="1:34">
      <c r="A23" s="51" t="s">
        <v>103</v>
      </c>
      <c r="B23" s="61">
        <v>0.40625</v>
      </c>
      <c r="C23" s="49" t="s">
        <v>95</v>
      </c>
      <c r="D23" t="s">
        <v>396</v>
      </c>
      <c r="E23">
        <v>292</v>
      </c>
      <c r="F23" t="s">
        <v>111</v>
      </c>
      <c r="G23" t="s">
        <v>953</v>
      </c>
      <c r="H23" t="s">
        <v>158</v>
      </c>
      <c r="I23" t="s">
        <v>297</v>
      </c>
      <c r="J23" t="s">
        <v>954</v>
      </c>
      <c r="K23">
        <v>8.1999999999999993</v>
      </c>
      <c r="L23" t="s">
        <v>111</v>
      </c>
      <c r="M23" t="s">
        <v>111</v>
      </c>
      <c r="N23" t="s">
        <v>485</v>
      </c>
      <c r="O23">
        <v>7.4770000000000003</v>
      </c>
      <c r="P23">
        <v>34</v>
      </c>
      <c r="Q23">
        <v>84.6</v>
      </c>
      <c r="R23" t="s">
        <v>110</v>
      </c>
      <c r="S23" t="s">
        <v>955</v>
      </c>
      <c r="T23" t="s">
        <v>271</v>
      </c>
      <c r="U23" t="s">
        <v>192</v>
      </c>
      <c r="V23" t="s">
        <v>956</v>
      </c>
      <c r="W23" t="s">
        <v>957</v>
      </c>
      <c r="X23" t="s">
        <v>958</v>
      </c>
      <c r="Y23" t="s">
        <v>959</v>
      </c>
      <c r="Z23" t="s">
        <v>401</v>
      </c>
      <c r="AA23" t="s">
        <v>390</v>
      </c>
      <c r="AB23" t="s">
        <v>111</v>
      </c>
      <c r="AC23" t="s">
        <v>111</v>
      </c>
      <c r="AD23" t="s">
        <v>111</v>
      </c>
      <c r="AE23" s="34">
        <v>118</v>
      </c>
      <c r="AF23" s="34">
        <v>8.8000000000000007</v>
      </c>
      <c r="AG23" s="34">
        <v>17.8</v>
      </c>
      <c r="AH23" s="34">
        <v>3.35</v>
      </c>
    </row>
    <row r="24" spans="1:34">
      <c r="A24" s="51" t="s">
        <v>104</v>
      </c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AE27" s="34"/>
      <c r="AF27" s="34"/>
      <c r="AG27" s="34"/>
    </row>
    <row r="28" spans="1:34">
      <c r="A28" s="46"/>
      <c r="B28" s="64"/>
      <c r="C28" s="6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92B57B8-3E93-4490-845E-F1D0DE71F600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AFFF-1F89-496D-B94A-5E0255593EA4}">
  <dimension ref="A1:AZ28"/>
  <sheetViews>
    <sheetView workbookViewId="0">
      <selection activeCell="B9" sqref="B9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118" t="s">
        <v>960</v>
      </c>
      <c r="C4" s="81"/>
      <c r="D4" s="42"/>
      <c r="E4" s="41" t="s">
        <v>4</v>
      </c>
      <c r="F4" s="92" t="s">
        <v>5</v>
      </c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>
        <v>1.96</v>
      </c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>
        <v>45379</v>
      </c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>
        <v>61.74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>
        <v>61.74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>
        <v>5967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>
        <v>0.26527777777777778</v>
      </c>
      <c r="C15" s="49" t="s">
        <v>95</v>
      </c>
      <c r="D15" t="s">
        <v>610</v>
      </c>
      <c r="E15">
        <v>300</v>
      </c>
      <c r="F15">
        <v>38</v>
      </c>
      <c r="G15" t="s">
        <v>961</v>
      </c>
      <c r="H15" t="s">
        <v>125</v>
      </c>
      <c r="I15" t="s">
        <v>962</v>
      </c>
      <c r="J15" t="s">
        <v>963</v>
      </c>
      <c r="K15">
        <v>3.7</v>
      </c>
      <c r="L15" t="s">
        <v>111</v>
      </c>
      <c r="M15" t="s">
        <v>111</v>
      </c>
      <c r="N15" t="s">
        <v>116</v>
      </c>
      <c r="O15">
        <v>7.4710000000000001</v>
      </c>
      <c r="P15">
        <v>38.200000000000003</v>
      </c>
      <c r="Q15">
        <v>76.3</v>
      </c>
      <c r="R15" t="s">
        <v>215</v>
      </c>
      <c r="S15" t="s">
        <v>134</v>
      </c>
      <c r="T15" t="s">
        <v>206</v>
      </c>
      <c r="U15" t="s">
        <v>178</v>
      </c>
      <c r="V15" t="s">
        <v>964</v>
      </c>
      <c r="W15" t="s">
        <v>826</v>
      </c>
      <c r="X15" t="s">
        <v>965</v>
      </c>
      <c r="Y15" t="s">
        <v>966</v>
      </c>
      <c r="Z15" t="s">
        <v>257</v>
      </c>
      <c r="AA15" t="s">
        <v>429</v>
      </c>
      <c r="AB15" t="s">
        <v>900</v>
      </c>
      <c r="AC15" t="s">
        <v>145</v>
      </c>
      <c r="AD15" t="s">
        <v>967</v>
      </c>
      <c r="AE15" s="53">
        <v>10.4</v>
      </c>
      <c r="AF15" s="34">
        <v>17.2</v>
      </c>
      <c r="AG15" s="34">
        <v>26.9</v>
      </c>
      <c r="AH15" s="34">
        <v>1.65</v>
      </c>
    </row>
    <row r="16" spans="1:52">
      <c r="A16" s="51" t="s">
        <v>96</v>
      </c>
      <c r="B16" s="61">
        <v>0.37916666666666665</v>
      </c>
      <c r="C16" s="49" t="s">
        <v>95</v>
      </c>
      <c r="D16" t="s">
        <v>482</v>
      </c>
      <c r="E16">
        <v>181</v>
      </c>
      <c r="F16">
        <v>39</v>
      </c>
      <c r="G16" t="s">
        <v>968</v>
      </c>
      <c r="H16" t="s">
        <v>174</v>
      </c>
      <c r="I16" t="s">
        <v>969</v>
      </c>
      <c r="J16" t="s">
        <v>970</v>
      </c>
      <c r="K16">
        <v>5.5</v>
      </c>
      <c r="L16" t="s">
        <v>111</v>
      </c>
      <c r="M16" t="s">
        <v>111</v>
      </c>
      <c r="N16" t="s">
        <v>389</v>
      </c>
      <c r="O16">
        <v>7.2670000000000003</v>
      </c>
      <c r="P16">
        <v>33.4</v>
      </c>
      <c r="Q16">
        <v>86.2</v>
      </c>
      <c r="R16" t="s">
        <v>971</v>
      </c>
      <c r="S16" t="s">
        <v>223</v>
      </c>
      <c r="T16" t="s">
        <v>643</v>
      </c>
      <c r="U16" t="s">
        <v>473</v>
      </c>
      <c r="V16" t="s">
        <v>972</v>
      </c>
      <c r="W16" t="s">
        <v>973</v>
      </c>
      <c r="X16" t="s">
        <v>974</v>
      </c>
      <c r="Y16" t="s">
        <v>975</v>
      </c>
      <c r="Z16" t="s">
        <v>401</v>
      </c>
      <c r="AA16" t="s">
        <v>198</v>
      </c>
      <c r="AB16" t="s">
        <v>900</v>
      </c>
      <c r="AC16" t="s">
        <v>976</v>
      </c>
      <c r="AD16" t="s">
        <v>977</v>
      </c>
      <c r="AE16" s="53">
        <v>139.6</v>
      </c>
      <c r="AF16" s="34">
        <v>13.3</v>
      </c>
      <c r="AG16" s="34">
        <v>22.5</v>
      </c>
      <c r="AH16" s="34">
        <v>2.67</v>
      </c>
    </row>
    <row r="17" spans="1:34">
      <c r="A17" s="51" t="s">
        <v>97</v>
      </c>
      <c r="B17" s="61" t="s">
        <v>978</v>
      </c>
      <c r="C17" s="49" t="s">
        <v>95</v>
      </c>
      <c r="D17" t="s">
        <v>345</v>
      </c>
      <c r="E17">
        <v>176</v>
      </c>
      <c r="F17" t="s">
        <v>111</v>
      </c>
      <c r="G17" t="s">
        <v>979</v>
      </c>
      <c r="H17" t="s">
        <v>249</v>
      </c>
      <c r="I17" t="s">
        <v>740</v>
      </c>
      <c r="J17" t="s">
        <v>151</v>
      </c>
      <c r="K17">
        <v>4.3</v>
      </c>
      <c r="L17" t="s">
        <v>111</v>
      </c>
      <c r="M17" t="s">
        <v>111</v>
      </c>
      <c r="N17" t="s">
        <v>546</v>
      </c>
      <c r="O17">
        <v>7.2039999999999997</v>
      </c>
      <c r="P17">
        <v>33.5</v>
      </c>
      <c r="Q17">
        <v>102</v>
      </c>
      <c r="R17" t="s">
        <v>190</v>
      </c>
      <c r="S17" t="s">
        <v>490</v>
      </c>
      <c r="T17" t="s">
        <v>349</v>
      </c>
      <c r="U17" t="s">
        <v>178</v>
      </c>
      <c r="V17" t="s">
        <v>980</v>
      </c>
      <c r="W17" t="s">
        <v>242</v>
      </c>
      <c r="X17" t="s">
        <v>981</v>
      </c>
      <c r="Y17" t="s">
        <v>982</v>
      </c>
      <c r="Z17" t="s">
        <v>401</v>
      </c>
      <c r="AA17" t="s">
        <v>983</v>
      </c>
      <c r="AB17" t="s">
        <v>819</v>
      </c>
      <c r="AC17" t="s">
        <v>246</v>
      </c>
      <c r="AD17" t="s">
        <v>984</v>
      </c>
      <c r="AE17" s="53">
        <v>13.6</v>
      </c>
      <c r="AF17" s="34">
        <v>18.5</v>
      </c>
      <c r="AG17" s="34">
        <v>20</v>
      </c>
      <c r="AH17" s="34">
        <v>3.48</v>
      </c>
    </row>
    <row r="18" spans="1:34">
      <c r="A18" s="65" t="s">
        <v>98</v>
      </c>
      <c r="B18" s="61" t="s">
        <v>985</v>
      </c>
      <c r="C18" s="49" t="s">
        <v>95</v>
      </c>
      <c r="D18" t="s">
        <v>986</v>
      </c>
      <c r="E18">
        <v>263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606</v>
      </c>
      <c r="O18">
        <v>7.3360000000000003</v>
      </c>
      <c r="P18">
        <v>24.2</v>
      </c>
      <c r="Q18">
        <v>106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99</v>
      </c>
      <c r="B19" s="61" t="s">
        <v>987</v>
      </c>
      <c r="C19" s="49" t="s">
        <v>95</v>
      </c>
      <c r="D19" t="s">
        <v>842</v>
      </c>
      <c r="E19">
        <v>277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125</v>
      </c>
      <c r="O19">
        <v>7.335</v>
      </c>
      <c r="P19">
        <v>32.4</v>
      </c>
      <c r="Q19">
        <v>96.8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100</v>
      </c>
      <c r="B20" s="61" t="s">
        <v>988</v>
      </c>
      <c r="C20" s="49" t="s">
        <v>95</v>
      </c>
      <c r="D20" t="s">
        <v>734</v>
      </c>
      <c r="E20">
        <v>262</v>
      </c>
      <c r="F20" t="s">
        <v>111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424</v>
      </c>
      <c r="O20">
        <v>7.35</v>
      </c>
      <c r="P20">
        <v>27.8</v>
      </c>
      <c r="Q20">
        <v>103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101</v>
      </c>
      <c r="B21" s="61" t="s">
        <v>989</v>
      </c>
      <c r="C21" s="49" t="s">
        <v>95</v>
      </c>
      <c r="D21" t="s">
        <v>990</v>
      </c>
      <c r="E21">
        <v>300</v>
      </c>
      <c r="F21" t="s">
        <v>111</v>
      </c>
      <c r="G21" t="s">
        <v>991</v>
      </c>
      <c r="H21" t="s">
        <v>542</v>
      </c>
      <c r="I21" t="s">
        <v>302</v>
      </c>
      <c r="J21" t="s">
        <v>640</v>
      </c>
      <c r="K21">
        <v>3.7</v>
      </c>
      <c r="L21" t="s">
        <v>111</v>
      </c>
      <c r="M21" t="s">
        <v>111</v>
      </c>
      <c r="N21" t="s">
        <v>755</v>
      </c>
      <c r="O21">
        <v>7.34</v>
      </c>
      <c r="P21">
        <v>34.799999999999997</v>
      </c>
      <c r="Q21">
        <v>99.5</v>
      </c>
      <c r="R21" t="s">
        <v>279</v>
      </c>
      <c r="S21" t="s">
        <v>512</v>
      </c>
      <c r="T21" t="s">
        <v>992</v>
      </c>
      <c r="U21" t="s">
        <v>240</v>
      </c>
      <c r="V21" t="s">
        <v>993</v>
      </c>
      <c r="W21" t="s">
        <v>242</v>
      </c>
      <c r="X21" t="s">
        <v>994</v>
      </c>
      <c r="Y21" t="s">
        <v>995</v>
      </c>
      <c r="Z21" t="s">
        <v>401</v>
      </c>
      <c r="AA21" t="s">
        <v>111</v>
      </c>
      <c r="AB21" t="s">
        <v>111</v>
      </c>
      <c r="AC21" t="s">
        <v>111</v>
      </c>
      <c r="AD21" t="s">
        <v>111</v>
      </c>
      <c r="AE21" s="53">
        <v>119.9</v>
      </c>
      <c r="AF21" s="34">
        <v>14.2</v>
      </c>
      <c r="AG21" s="34">
        <v>17.7</v>
      </c>
      <c r="AH21" s="34">
        <v>1.35</v>
      </c>
    </row>
    <row r="22" spans="1:34">
      <c r="A22" s="51" t="s">
        <v>102</v>
      </c>
      <c r="B22" s="61" t="s">
        <v>996</v>
      </c>
      <c r="C22" s="49" t="s">
        <v>95</v>
      </c>
      <c r="D22" t="s">
        <v>503</v>
      </c>
      <c r="E22">
        <v>244</v>
      </c>
      <c r="F22">
        <v>37</v>
      </c>
      <c r="G22" t="s">
        <v>778</v>
      </c>
      <c r="H22" t="s">
        <v>257</v>
      </c>
      <c r="I22" t="s">
        <v>573</v>
      </c>
      <c r="J22" t="s">
        <v>610</v>
      </c>
      <c r="K22">
        <v>3.8</v>
      </c>
      <c r="L22" t="s">
        <v>111</v>
      </c>
      <c r="M22" t="s">
        <v>111</v>
      </c>
      <c r="N22" t="s">
        <v>997</v>
      </c>
      <c r="O22">
        <v>7.375</v>
      </c>
      <c r="P22">
        <v>36.200000000000003</v>
      </c>
      <c r="Q22">
        <v>96</v>
      </c>
      <c r="R22" t="s">
        <v>407</v>
      </c>
      <c r="S22" t="s">
        <v>223</v>
      </c>
      <c r="T22" t="s">
        <v>998</v>
      </c>
      <c r="U22" t="s">
        <v>240</v>
      </c>
      <c r="V22" t="s">
        <v>999</v>
      </c>
      <c r="W22" t="s">
        <v>1000</v>
      </c>
      <c r="X22" t="s">
        <v>1001</v>
      </c>
      <c r="Y22" t="s">
        <v>1002</v>
      </c>
      <c r="Z22" t="s">
        <v>401</v>
      </c>
      <c r="AA22" t="s">
        <v>389</v>
      </c>
      <c r="AB22" t="s">
        <v>269</v>
      </c>
      <c r="AC22" t="s">
        <v>1003</v>
      </c>
      <c r="AD22" t="s">
        <v>1004</v>
      </c>
      <c r="AE22" s="34">
        <v>115</v>
      </c>
      <c r="AF22" s="34">
        <v>13.8</v>
      </c>
      <c r="AG22" s="34">
        <v>19.100000000000001</v>
      </c>
      <c r="AH22" s="34">
        <v>2.1</v>
      </c>
    </row>
    <row r="23" spans="1:34">
      <c r="A23" s="51" t="s">
        <v>103</v>
      </c>
      <c r="B23" s="61" t="s">
        <v>978</v>
      </c>
      <c r="C23" s="49" t="s">
        <v>95</v>
      </c>
      <c r="D23" t="s">
        <v>453</v>
      </c>
      <c r="E23">
        <v>295</v>
      </c>
      <c r="F23">
        <v>34</v>
      </c>
      <c r="G23" t="s">
        <v>1005</v>
      </c>
      <c r="H23" t="s">
        <v>513</v>
      </c>
      <c r="I23" t="s">
        <v>1006</v>
      </c>
      <c r="J23" t="s">
        <v>375</v>
      </c>
      <c r="K23">
        <v>4</v>
      </c>
      <c r="L23" t="s">
        <v>111</v>
      </c>
      <c r="M23" t="s">
        <v>111</v>
      </c>
      <c r="N23" t="s">
        <v>729</v>
      </c>
      <c r="O23">
        <v>7.4969999999999999</v>
      </c>
      <c r="P23">
        <v>28.4</v>
      </c>
      <c r="Q23">
        <v>94.8</v>
      </c>
      <c r="R23" t="s">
        <v>971</v>
      </c>
      <c r="S23" t="s">
        <v>1007</v>
      </c>
      <c r="T23" t="s">
        <v>1008</v>
      </c>
      <c r="U23" t="s">
        <v>136</v>
      </c>
      <c r="V23" t="s">
        <v>1009</v>
      </c>
      <c r="W23" t="s">
        <v>1010</v>
      </c>
      <c r="X23" t="s">
        <v>213</v>
      </c>
      <c r="Y23" t="s">
        <v>1011</v>
      </c>
      <c r="Z23" t="s">
        <v>401</v>
      </c>
      <c r="AA23" t="s">
        <v>209</v>
      </c>
      <c r="AB23" t="s">
        <v>111</v>
      </c>
      <c r="AC23" t="s">
        <v>111</v>
      </c>
      <c r="AD23" t="s">
        <v>111</v>
      </c>
      <c r="AE23" s="34">
        <v>124.9</v>
      </c>
      <c r="AF23" s="34">
        <v>6.5</v>
      </c>
      <c r="AG23" s="34">
        <v>54.8</v>
      </c>
      <c r="AH23" s="34">
        <v>6.46</v>
      </c>
    </row>
    <row r="24" spans="1:34">
      <c r="A24" s="51" t="s">
        <v>104</v>
      </c>
      <c r="B24" s="61" t="s">
        <v>978</v>
      </c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  <c r="AH26" s="34"/>
    </row>
    <row r="27" spans="1:34">
      <c r="A27" s="46"/>
      <c r="B27" s="64"/>
      <c r="C27" s="64"/>
      <c r="AE27" s="34"/>
      <c r="AF27" s="34"/>
      <c r="AG27" s="34"/>
    </row>
    <row r="28" spans="1:34">
      <c r="A28" s="46"/>
      <c r="B28" s="64"/>
      <c r="C28" s="6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C669A68A-AE6F-47B4-9F9F-E78FE08981CF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B1BD-09B3-4E9E-9BF4-FC63C5542223}">
  <dimension ref="A1:AZ28"/>
  <sheetViews>
    <sheetView workbookViewId="0">
      <selection activeCell="B10" sqref="B10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85" t="s">
        <v>0</v>
      </c>
      <c r="B1" s="86"/>
      <c r="C1" s="86"/>
      <c r="D1" s="86"/>
      <c r="E1" s="86"/>
      <c r="F1" s="87"/>
      <c r="G1" s="85" t="s">
        <v>1</v>
      </c>
      <c r="H1" s="86"/>
      <c r="I1" s="86"/>
      <c r="J1" s="86"/>
      <c r="K1" s="86"/>
      <c r="L1" s="86"/>
      <c r="M1" s="87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5.8">
      <c r="A2" s="88"/>
      <c r="B2" s="89"/>
      <c r="C2" s="89"/>
      <c r="D2" s="89"/>
      <c r="E2" s="89"/>
      <c r="F2" s="90"/>
      <c r="G2" s="88"/>
      <c r="H2" s="89"/>
      <c r="I2" s="89"/>
      <c r="J2" s="89"/>
      <c r="K2" s="89"/>
      <c r="L2" s="89"/>
      <c r="M2" s="90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5.8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91"/>
      <c r="C4" s="81"/>
      <c r="D4" s="42"/>
      <c r="E4" s="41" t="s">
        <v>4</v>
      </c>
      <c r="F4" s="92"/>
      <c r="G4" s="93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5.8">
      <c r="A5" s="41" t="s">
        <v>106</v>
      </c>
      <c r="B5" s="91"/>
      <c r="C5" s="81"/>
      <c r="D5" s="42"/>
      <c r="E5" s="41" t="s">
        <v>7</v>
      </c>
      <c r="F5" s="96"/>
      <c r="G5" s="97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5.8">
      <c r="A6" s="41" t="s">
        <v>8</v>
      </c>
      <c r="B6" s="114"/>
      <c r="C6" s="115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5.8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5.8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6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 ht="15.6">
      <c r="A10" s="41"/>
      <c r="B10" s="7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34"/>
      <c r="R10" s="34"/>
      <c r="S10" s="34"/>
      <c r="T10" s="34"/>
      <c r="U10" s="34"/>
      <c r="V10" s="34"/>
      <c r="X10" s="34"/>
      <c r="Y10" s="34"/>
      <c r="Z10" s="34"/>
      <c r="AA10" s="34"/>
      <c r="AB10" s="34"/>
      <c r="AC10" s="34"/>
      <c r="AD10" s="13"/>
      <c r="AE10" s="13"/>
      <c r="AF10" s="13"/>
      <c r="AG10" s="13"/>
    </row>
    <row r="11" spans="1:52">
      <c r="A11" s="46"/>
      <c r="B11" s="47"/>
      <c r="C11" s="48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46"/>
      <c r="B12" s="47"/>
      <c r="C12" s="48" t="s">
        <v>13</v>
      </c>
      <c r="D12" s="48" t="s">
        <v>14</v>
      </c>
      <c r="E12" s="48" t="s">
        <v>15</v>
      </c>
      <c r="F12" s="48" t="s">
        <v>16</v>
      </c>
      <c r="G12" s="82" t="s">
        <v>17</v>
      </c>
      <c r="H12" s="82"/>
      <c r="I12" s="82"/>
      <c r="J12" s="82"/>
      <c r="K12" s="82"/>
      <c r="L12" s="49" t="s">
        <v>18</v>
      </c>
      <c r="M12" s="49" t="s">
        <v>19</v>
      </c>
      <c r="N12" s="83" t="s">
        <v>20</v>
      </c>
      <c r="O12" s="83"/>
      <c r="P12" s="83"/>
      <c r="Q12" s="83"/>
      <c r="R12" s="84" t="s">
        <v>21</v>
      </c>
      <c r="S12" s="84"/>
      <c r="T12" s="84"/>
      <c r="U12" s="84"/>
      <c r="V12" s="84"/>
      <c r="W12" s="84"/>
      <c r="X12" s="84"/>
      <c r="Y12" s="84"/>
      <c r="Z12" s="84"/>
      <c r="AA12" s="82" t="s">
        <v>22</v>
      </c>
      <c r="AB12" s="82"/>
      <c r="AC12" s="82"/>
      <c r="AD12" s="82"/>
      <c r="AE12" s="82" t="s">
        <v>23</v>
      </c>
      <c r="AF12" s="82"/>
      <c r="AG12" s="82"/>
      <c r="AH12" s="8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49"/>
      <c r="B13" s="50"/>
      <c r="C13" s="51" t="s">
        <v>26</v>
      </c>
      <c r="D13" s="52" t="s">
        <v>27</v>
      </c>
      <c r="E13" s="52" t="s">
        <v>28</v>
      </c>
      <c r="F13" s="52" t="s">
        <v>29</v>
      </c>
      <c r="G13" s="53" t="s">
        <v>30</v>
      </c>
      <c r="H13" s="53" t="s">
        <v>31</v>
      </c>
      <c r="I13" s="53" t="s">
        <v>27</v>
      </c>
      <c r="J13" s="53" t="s">
        <v>32</v>
      </c>
      <c r="K13" s="53" t="s">
        <v>32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27</v>
      </c>
      <c r="R13" s="53" t="s">
        <v>37</v>
      </c>
      <c r="S13" s="53" t="s">
        <v>37</v>
      </c>
      <c r="T13" s="53" t="s">
        <v>37</v>
      </c>
      <c r="U13" s="53" t="s">
        <v>38</v>
      </c>
      <c r="V13" s="53" t="s">
        <v>38</v>
      </c>
      <c r="W13" s="53" t="s">
        <v>37</v>
      </c>
      <c r="X13" s="53" t="s">
        <v>38</v>
      </c>
      <c r="Y13" s="53" t="s">
        <v>38</v>
      </c>
      <c r="Z13" s="53" t="s">
        <v>37</v>
      </c>
      <c r="AA13" s="53" t="s">
        <v>39</v>
      </c>
      <c r="AB13" s="53" t="s">
        <v>39</v>
      </c>
      <c r="AC13" s="53" t="s">
        <v>40</v>
      </c>
      <c r="AD13" s="53" t="s">
        <v>41</v>
      </c>
      <c r="AE13" s="53" t="s">
        <v>42</v>
      </c>
      <c r="AF13" s="53" t="s">
        <v>42</v>
      </c>
      <c r="AG13" s="53" t="s">
        <v>42</v>
      </c>
      <c r="AH13" s="53" t="s">
        <v>43</v>
      </c>
      <c r="AI13" s="54" t="s">
        <v>44</v>
      </c>
      <c r="AJ13" s="54" t="s">
        <v>44</v>
      </c>
      <c r="AK13" s="54" t="s">
        <v>44</v>
      </c>
      <c r="AL13" s="54" t="s">
        <v>44</v>
      </c>
      <c r="AM13" s="54" t="s">
        <v>44</v>
      </c>
      <c r="AN13" s="54" t="s">
        <v>44</v>
      </c>
      <c r="AO13" s="54" t="s">
        <v>44</v>
      </c>
      <c r="AP13" s="54" t="s">
        <v>44</v>
      </c>
      <c r="AQ13" s="54" t="s">
        <v>44</v>
      </c>
      <c r="AR13" s="54" t="s">
        <v>44</v>
      </c>
      <c r="AS13" s="54" t="s">
        <v>44</v>
      </c>
      <c r="AT13" s="54" t="s">
        <v>44</v>
      </c>
      <c r="AU13" s="54" t="s">
        <v>44</v>
      </c>
      <c r="AV13" s="54" t="s">
        <v>44</v>
      </c>
      <c r="AW13" s="54" t="s">
        <v>44</v>
      </c>
      <c r="AX13" s="54" t="s">
        <v>44</v>
      </c>
      <c r="AY13" s="53" t="s">
        <v>44</v>
      </c>
      <c r="AZ13" s="53" t="s">
        <v>44</v>
      </c>
    </row>
    <row r="14" spans="1:52" ht="15.75" customHeight="1">
      <c r="A14" s="55" t="s">
        <v>45</v>
      </c>
      <c r="B14" s="56" t="s">
        <v>46</v>
      </c>
      <c r="C14" s="55" t="s">
        <v>47</v>
      </c>
      <c r="D14" s="55" t="s">
        <v>14</v>
      </c>
      <c r="E14" s="55" t="s">
        <v>28</v>
      </c>
      <c r="F14" s="55" t="s">
        <v>48</v>
      </c>
      <c r="G14" s="55" t="s">
        <v>49</v>
      </c>
      <c r="H14" s="55" t="s">
        <v>50</v>
      </c>
      <c r="I14" s="57" t="s">
        <v>51</v>
      </c>
      <c r="J14" s="57" t="s">
        <v>52</v>
      </c>
      <c r="K14" s="57" t="s">
        <v>53</v>
      </c>
      <c r="L14" s="57" t="s">
        <v>54</v>
      </c>
      <c r="M14" s="57" t="s">
        <v>19</v>
      </c>
      <c r="N14" s="57" t="s">
        <v>55</v>
      </c>
      <c r="O14" s="57" t="s">
        <v>56</v>
      </c>
      <c r="P14" s="57" t="s">
        <v>57</v>
      </c>
      <c r="Q14" s="57" t="s">
        <v>58</v>
      </c>
      <c r="R14" s="26" t="s">
        <v>59</v>
      </c>
      <c r="S14" s="58" t="s">
        <v>60</v>
      </c>
      <c r="T14" s="58" t="s">
        <v>61</v>
      </c>
      <c r="U14" s="58" t="s">
        <v>62</v>
      </c>
      <c r="V14" s="58" t="s">
        <v>63</v>
      </c>
      <c r="W14" s="58" t="s">
        <v>64</v>
      </c>
      <c r="X14" s="58" t="s">
        <v>65</v>
      </c>
      <c r="Y14" s="58" t="s">
        <v>66</v>
      </c>
      <c r="Z14" s="58" t="s">
        <v>67</v>
      </c>
      <c r="AA14" s="58" t="s">
        <v>68</v>
      </c>
      <c r="AB14" s="58" t="s">
        <v>69</v>
      </c>
      <c r="AC14" s="58" t="s">
        <v>70</v>
      </c>
      <c r="AD14" s="58" t="s">
        <v>71</v>
      </c>
      <c r="AE14" s="58" t="s">
        <v>72</v>
      </c>
      <c r="AF14" s="26" t="s">
        <v>73</v>
      </c>
      <c r="AG14" s="26" t="s">
        <v>74</v>
      </c>
      <c r="AH14" s="26" t="s">
        <v>75</v>
      </c>
      <c r="AI14" s="59" t="s">
        <v>76</v>
      </c>
      <c r="AJ14" s="59" t="s">
        <v>77</v>
      </c>
      <c r="AK14" s="59" t="s">
        <v>78</v>
      </c>
      <c r="AL14" s="59" t="s">
        <v>79</v>
      </c>
      <c r="AM14" s="59" t="s">
        <v>80</v>
      </c>
      <c r="AN14" s="59" t="s">
        <v>81</v>
      </c>
      <c r="AO14" s="59" t="s">
        <v>82</v>
      </c>
      <c r="AP14" s="59" t="s">
        <v>83</v>
      </c>
      <c r="AQ14" s="59" t="s">
        <v>84</v>
      </c>
      <c r="AR14" s="59" t="s">
        <v>85</v>
      </c>
      <c r="AS14" s="59" t="s">
        <v>86</v>
      </c>
      <c r="AT14" s="59" t="s">
        <v>87</v>
      </c>
      <c r="AU14" s="59" t="s">
        <v>88</v>
      </c>
      <c r="AV14" s="59" t="s">
        <v>89</v>
      </c>
      <c r="AW14" s="59" t="s">
        <v>90</v>
      </c>
      <c r="AX14" s="59" t="s">
        <v>91</v>
      </c>
      <c r="AY14" s="26" t="s">
        <v>92</v>
      </c>
      <c r="AZ14" s="26" t="s">
        <v>93</v>
      </c>
    </row>
    <row r="15" spans="1:52">
      <c r="A15" s="60" t="s">
        <v>94</v>
      </c>
      <c r="B15" s="61"/>
      <c r="C15" s="49" t="s">
        <v>95</v>
      </c>
      <c r="D15" s="49"/>
      <c r="E15" s="49"/>
      <c r="F15" s="49"/>
      <c r="G15" s="62"/>
      <c r="H15" s="62"/>
      <c r="I15" s="53"/>
      <c r="J15" s="53"/>
      <c r="K15" s="53"/>
      <c r="L15" s="53"/>
      <c r="M15" s="63" t="e">
        <f t="shared" ref="M15:M26" si="0">(L15/(((H15*10)/64500)*10^6))*100</f>
        <v>#DIV/0!</v>
      </c>
      <c r="N15" s="32"/>
      <c r="O15" s="32"/>
      <c r="P15" s="32"/>
      <c r="Q15" s="32"/>
      <c r="R15" s="53"/>
      <c r="S15" s="3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96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 t="shared" si="0"/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51" t="s">
        <v>97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 t="shared" si="0"/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65" t="s">
        <v>98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 t="shared" si="0"/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99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 t="shared" si="0"/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100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 t="shared" si="0"/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 t="shared" si="0"/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34"/>
      <c r="AG21" s="34"/>
      <c r="AH21" s="34"/>
    </row>
    <row r="22" spans="1:34">
      <c r="A22" s="51" t="s">
        <v>102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 t="shared" si="0"/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103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 t="shared" si="0"/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104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 t="shared" si="0"/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 t="shared" si="0"/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51"/>
      <c r="B26" s="61"/>
      <c r="C26" s="49" t="s">
        <v>95</v>
      </c>
      <c r="D26" s="49"/>
      <c r="E26" s="49"/>
      <c r="F26" s="49"/>
      <c r="G26" s="53"/>
      <c r="H26" s="53"/>
      <c r="I26" s="53"/>
      <c r="J26" s="53"/>
      <c r="K26" s="53"/>
      <c r="L26" s="53"/>
      <c r="M26" s="63" t="e">
        <f t="shared" si="0"/>
        <v>#DIV/0!</v>
      </c>
      <c r="N26" s="32"/>
      <c r="O26" s="32"/>
      <c r="P26" s="32"/>
      <c r="Q26" s="32"/>
      <c r="R26" s="53"/>
      <c r="S26" s="53"/>
      <c r="T26" s="53"/>
      <c r="U26" s="53"/>
      <c r="V26" s="53"/>
      <c r="W26" s="53"/>
      <c r="X26" s="53"/>
      <c r="Y26" s="53"/>
      <c r="Z26" s="53"/>
      <c r="AA26" s="34"/>
      <c r="AB26" s="34"/>
      <c r="AC26" s="34"/>
      <c r="AD26" s="34"/>
      <c r="AE26" s="34"/>
      <c r="AF26" s="34"/>
      <c r="AG26" s="34"/>
      <c r="AH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28" s="46"/>
      <c r="B28" s="64"/>
      <c r="C28" s="64"/>
      <c r="D28" s="64"/>
      <c r="E28" s="64"/>
      <c r="F28" s="64"/>
      <c r="G28" s="6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0B2BEEE-3E0C-4CB7-B6C8-6473EB60FE93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FD9-6481-4347-AB29-F89C6B8C5CA5}">
  <dimension ref="A1:AZ28"/>
  <sheetViews>
    <sheetView workbookViewId="0">
      <selection activeCell="E7" sqref="E7"/>
    </sheetView>
  </sheetViews>
  <sheetFormatPr defaultRowHeight="14.4"/>
  <cols>
    <col min="1" max="1" width="29" bestFit="1" customWidth="1"/>
    <col min="2" max="2" width="10.554687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5546875" bestFit="1" customWidth="1"/>
    <col min="40" max="40" width="14" bestFit="1" customWidth="1"/>
    <col min="41" max="41" width="14.88671875" bestFit="1" customWidth="1"/>
    <col min="42" max="42" width="15.554687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98" t="s">
        <v>0</v>
      </c>
      <c r="B1" s="99"/>
      <c r="C1" s="99"/>
      <c r="D1" s="99"/>
      <c r="E1" s="99"/>
      <c r="F1" s="100"/>
      <c r="G1" s="98" t="s">
        <v>1</v>
      </c>
      <c r="H1" s="99"/>
      <c r="I1" s="99"/>
      <c r="J1" s="99"/>
      <c r="K1" s="99"/>
      <c r="L1" s="99"/>
      <c r="M1" s="10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4" thickBot="1">
      <c r="A2" s="101"/>
      <c r="B2" s="102"/>
      <c r="C2" s="102"/>
      <c r="D2" s="102"/>
      <c r="E2" s="102"/>
      <c r="F2" s="103"/>
      <c r="G2" s="101"/>
      <c r="H2" s="102"/>
      <c r="I2" s="102"/>
      <c r="J2" s="102"/>
      <c r="K2" s="102"/>
      <c r="L2" s="102"/>
      <c r="M2" s="10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4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104"/>
      <c r="C4" s="105"/>
      <c r="D4" s="5"/>
      <c r="E4" s="4" t="s">
        <v>4</v>
      </c>
      <c r="F4" s="106"/>
      <c r="G4" s="107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4" thickBot="1">
      <c r="A5" s="4" t="s">
        <v>106</v>
      </c>
      <c r="B5" s="104"/>
      <c r="C5" s="105"/>
      <c r="D5" s="5"/>
      <c r="E5" s="4" t="s">
        <v>7</v>
      </c>
      <c r="F5" s="108"/>
      <c r="G5" s="109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4" thickBot="1">
      <c r="A6" s="4" t="s">
        <v>8</v>
      </c>
      <c r="B6" s="110"/>
      <c r="C6" s="11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4" thickBot="1">
      <c r="A8" s="4" t="s">
        <v>10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16.2" thickBot="1">
      <c r="A9" s="4" t="s">
        <v>11</v>
      </c>
      <c r="B9" s="8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 ht="15.6">
      <c r="A10" s="4"/>
      <c r="B10" s="7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112" t="s">
        <v>17</v>
      </c>
      <c r="H12" s="112"/>
      <c r="I12" s="112"/>
      <c r="J12" s="112"/>
      <c r="K12" s="112"/>
      <c r="L12" s="17" t="s">
        <v>18</v>
      </c>
      <c r="M12" s="17" t="s">
        <v>19</v>
      </c>
      <c r="N12" s="83" t="s">
        <v>20</v>
      </c>
      <c r="O12" s="83"/>
      <c r="P12" s="83"/>
      <c r="Q12" s="83"/>
      <c r="R12" s="113" t="s">
        <v>21</v>
      </c>
      <c r="S12" s="113"/>
      <c r="T12" s="113"/>
      <c r="U12" s="113"/>
      <c r="V12" s="113"/>
      <c r="W12" s="113"/>
      <c r="X12" s="113"/>
      <c r="Y12" s="113"/>
      <c r="Z12" s="113"/>
      <c r="AA12" s="112" t="s">
        <v>22</v>
      </c>
      <c r="AB12" s="112"/>
      <c r="AC12" s="112"/>
      <c r="AD12" s="112"/>
      <c r="AE12" s="112" t="s">
        <v>23</v>
      </c>
      <c r="AF12" s="112"/>
      <c r="AG12" s="112"/>
      <c r="AH12" s="112"/>
      <c r="AI12" s="79" t="s">
        <v>24</v>
      </c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 t="s">
        <v>25</v>
      </c>
      <c r="AZ12" s="79"/>
    </row>
    <row r="13" spans="1:52" ht="15" customHeight="1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 ht="15.75" customHeight="1" thickBot="1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/>
      <c r="C15" s="17" t="s">
        <v>95</v>
      </c>
      <c r="D15" s="17"/>
      <c r="E15" s="17"/>
      <c r="F15" s="17"/>
      <c r="G15" s="31"/>
      <c r="H15" s="31"/>
      <c r="I15" s="21"/>
      <c r="J15" s="21"/>
      <c r="K15" s="21"/>
      <c r="L15" s="21"/>
      <c r="M15" s="37" t="e">
        <f>(L15/(((H15*10)/64500)*10^6))*100</f>
        <v>#DIV/0!</v>
      </c>
      <c r="N15" s="32"/>
      <c r="O15" s="32"/>
      <c r="P15" s="32"/>
      <c r="Q15" s="32"/>
      <c r="R15" s="21"/>
      <c r="S15" s="33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96</v>
      </c>
      <c r="B16" s="30"/>
      <c r="C16" s="17" t="s">
        <v>95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/>
      <c r="C17" s="17" t="s">
        <v>95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36" t="s">
        <v>100</v>
      </c>
      <c r="B18" s="30"/>
      <c r="C18" s="17" t="s">
        <v>95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1012</v>
      </c>
      <c r="B19" s="30"/>
      <c r="C19" s="17" t="s">
        <v>95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166</v>
      </c>
      <c r="B20" s="30"/>
      <c r="C20" s="17" t="s">
        <v>95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1013</v>
      </c>
      <c r="B21" s="30"/>
      <c r="C21" s="17" t="s">
        <v>95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101</v>
      </c>
      <c r="B22" s="30"/>
      <c r="C22" s="17" t="s">
        <v>95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107</v>
      </c>
      <c r="B23" s="30"/>
      <c r="C23" s="17" t="s">
        <v>95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108</v>
      </c>
      <c r="B24" s="30"/>
      <c r="C24" s="17" t="s">
        <v>95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1014</v>
      </c>
      <c r="B25" s="30"/>
      <c r="C25" s="17" t="s">
        <v>95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104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5723E88-C4E7-437A-8563-0E0E462B97F1}">
      <formula1>"incomplete, COMPLETED"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d7a58-fab8-4303-a582-0d52ca1487cd" xsi:nil="true"/>
    <lcf76f155ced4ddcb4097134ff3c332f xmlns="c2455241-6d26-456a-8fd9-0db667cc9e0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B7A52-A480-4348-B0EF-95FF2432C0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A094E6-7AE4-4B9D-A916-B2F2782B0566}">
  <ds:schemaRefs>
    <ds:schemaRef ds:uri="http://schemas.microsoft.com/office/2006/metadata/properties"/>
    <ds:schemaRef ds:uri="http://schemas.microsoft.com/office/infopath/2007/PartnerControls"/>
    <ds:schemaRef ds:uri="ff1d7a58-fab8-4303-a582-0d52ca1487cd"/>
    <ds:schemaRef ds:uri="c2455241-6d26-456a-8fd9-0db667cc9e00"/>
  </ds:schemaRefs>
</ds:datastoreItem>
</file>

<file path=customXml/itemProps3.xml><?xml version="1.0" encoding="utf-8"?>
<ds:datastoreItem xmlns:ds="http://schemas.openxmlformats.org/officeDocument/2006/customXml" ds:itemID="{8196060E-5FBE-4554-B8F6-C71453A75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55241-6d26-456a-8fd9-0db667cc9e00"/>
    <ds:schemaRef ds:uri="ff1d7a58-fab8-4303-a582-0d52ca148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B-PRC 01</vt:lpstr>
      <vt:lpstr>B-PRC 02</vt:lpstr>
      <vt:lpstr>B-PRC 03</vt:lpstr>
      <vt:lpstr>B-PRC 04 </vt:lpstr>
      <vt:lpstr>B-PRC 05</vt:lpstr>
      <vt:lpstr>B-PRC 06</vt:lpstr>
      <vt:lpstr>B-PRC 07</vt:lpstr>
      <vt:lpstr>B-PRC 08</vt:lpstr>
      <vt:lpstr>B-PRC 09</vt:lpstr>
      <vt:lpstr>B-PRC 10</vt:lpstr>
      <vt:lpstr>B-PRC 11</vt:lpstr>
      <vt:lpstr>B-PRC 12</vt:lpstr>
      <vt:lpstr>B-PRC 13</vt:lpstr>
      <vt:lpstr>B-PRC 14</vt:lpstr>
      <vt:lpstr>B-PRC 15</vt:lpstr>
      <vt:lpstr>B-PRC 16</vt:lpstr>
      <vt:lpstr>B-PRC 17</vt:lpstr>
      <vt:lpstr>B-PRC 18</vt:lpstr>
      <vt:lpstr>B-PRC 19</vt:lpstr>
      <vt:lpstr>B-PRC 20</vt:lpstr>
      <vt:lpstr>B-PRC 21</vt:lpstr>
      <vt:lpstr>B-PRC 22</vt:lpstr>
      <vt:lpstr>B-PRC 23</vt:lpstr>
      <vt:lpstr>Template (2)</vt:lpstr>
      <vt:lpstr>Template (1)</vt:lpstr>
    </vt:vector>
  </TitlesOfParts>
  <Manager/>
  <Company>University of Maryland School of Medicine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Nikolai Vukov</cp:lastModifiedBy>
  <cp:revision/>
  <dcterms:created xsi:type="dcterms:W3CDTF">2026-02-02T19:57:22Z</dcterms:created>
  <dcterms:modified xsi:type="dcterms:W3CDTF">2026-08-06T17:26:27Z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
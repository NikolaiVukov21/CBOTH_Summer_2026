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Poster Presenation\Input\"/>
    </mc:Choice>
  </mc:AlternateContent>
  <xr:revisionPtr revIDLastSave="0" documentId="8_{7416D232-077E-4EFA-A921-50DBBDD74026}" xr6:coauthVersionLast="47" xr6:coauthVersionMax="47" xr10:uidLastSave="{00000000-0000-0000-0000-000000000000}"/>
  <bookViews>
    <workbookView xWindow="-108" yWindow="-108" windowWidth="23256" windowHeight="12456" xr2:uid="{5FEA6035-9DC8-4B49-A15C-C64AFA3737BD}"/>
  </bookViews>
  <sheets>
    <sheet name="B-EM 01" sheetId="25" r:id="rId1"/>
    <sheet name="B-EM 02" sheetId="26" r:id="rId2"/>
    <sheet name="B-EM 03" sheetId="4" r:id="rId3"/>
    <sheet name="B-EM 04" sheetId="28" r:id="rId4"/>
    <sheet name="B-EM 05" sheetId="27" r:id="rId5"/>
    <sheet name="B-EM 06" sheetId="29" r:id="rId6"/>
    <sheet name="TEMPLATE" sheetId="3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30" l="1"/>
  <c r="M25" i="30"/>
  <c r="M24" i="30"/>
  <c r="M23" i="30"/>
  <c r="M22" i="30"/>
  <c r="M21" i="30"/>
  <c r="M20" i="30"/>
  <c r="M19" i="30"/>
  <c r="M18" i="30"/>
  <c r="M17" i="30"/>
  <c r="M16" i="30"/>
  <c r="M15" i="30"/>
  <c r="M26" i="29"/>
  <c r="M25" i="29"/>
  <c r="M24" i="29"/>
  <c r="M23" i="29"/>
  <c r="M22" i="29"/>
  <c r="M21" i="29"/>
  <c r="M20" i="29"/>
  <c r="M19" i="29"/>
  <c r="M18" i="29"/>
  <c r="M17" i="29"/>
  <c r="M16" i="29"/>
  <c r="M15" i="29"/>
  <c r="M26" i="27"/>
  <c r="M25" i="27"/>
  <c r="M24" i="27"/>
  <c r="M23" i="27"/>
  <c r="M22" i="27"/>
  <c r="M21" i="27"/>
  <c r="M20" i="27"/>
  <c r="M19" i="27"/>
  <c r="M18" i="27"/>
  <c r="M17" i="27"/>
  <c r="M16" i="27"/>
  <c r="M15" i="27"/>
  <c r="M26" i="28"/>
  <c r="M25" i="28"/>
  <c r="M24" i="28"/>
  <c r="M23" i="28"/>
  <c r="M22" i="28"/>
  <c r="M21" i="28"/>
  <c r="M20" i="28"/>
  <c r="M19" i="28"/>
  <c r="M18" i="28"/>
  <c r="M17" i="28"/>
  <c r="M16" i="28"/>
  <c r="M15" i="28"/>
  <c r="M26" i="26"/>
  <c r="M25" i="26"/>
  <c r="M24" i="26"/>
  <c r="M23" i="26"/>
  <c r="M22" i="26"/>
  <c r="M21" i="26"/>
  <c r="M20" i="26"/>
  <c r="M19" i="26"/>
  <c r="M18" i="26"/>
  <c r="M17" i="26"/>
  <c r="M16" i="26"/>
  <c r="M15" i="26"/>
  <c r="M26" i="25"/>
  <c r="M25" i="25"/>
  <c r="M24" i="25"/>
  <c r="M23" i="25"/>
  <c r="M22" i="25"/>
  <c r="M21" i="25"/>
  <c r="M20" i="25"/>
  <c r="M19" i="25"/>
  <c r="M18" i="25"/>
  <c r="M17" i="25"/>
  <c r="M16" i="25"/>
  <c r="M15" i="25"/>
  <c r="M26" i="4"/>
  <c r="M25" i="4"/>
  <c r="M24" i="4"/>
  <c r="M23" i="4"/>
  <c r="M22" i="4"/>
  <c r="M21" i="4"/>
  <c r="M20" i="4"/>
  <c r="M19" i="4"/>
  <c r="M18" i="4"/>
  <c r="M17" i="4"/>
  <c r="M16" i="4"/>
  <c r="M15" i="4"/>
</calcChain>
</file>

<file path=xl/sharedStrings.xml><?xml version="1.0" encoding="utf-8"?>
<sst xmlns="http://schemas.openxmlformats.org/spreadsheetml/2006/main" count="1398" uniqueCount="115">
  <si>
    <r>
      <t>CONCERT: Rabbit B-</t>
    </r>
    <r>
      <rPr>
        <sz val="20"/>
        <color theme="1"/>
        <rFont val="Calibri"/>
        <family val="2"/>
      </rPr>
      <t>LR</t>
    </r>
    <r>
      <rPr>
        <b/>
        <sz val="20"/>
        <color theme="1"/>
        <rFont val="Calibri"/>
        <family val="2"/>
      </rPr>
      <t xml:space="preserve"> (YR1/YR2) - UMB</t>
    </r>
  </si>
  <si>
    <t>Please insert data from only 1 unit per Round</t>
  </si>
  <si>
    <t>Recipient rabbit ID:</t>
  </si>
  <si>
    <t>B-EM 01</t>
  </si>
  <si>
    <t>Exclude rabbit?</t>
  </si>
  <si>
    <t>No</t>
  </si>
  <si>
    <t>Rabbit weight: Kg</t>
  </si>
  <si>
    <t>Reason:</t>
  </si>
  <si>
    <t>Transfusion date:</t>
  </si>
  <si>
    <t>Bleed volume (mL) &amp; %:</t>
  </si>
  <si>
    <t>Transfusion volume (mL):</t>
  </si>
  <si>
    <t>Tele ID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</si>
  <si>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</si>
  <si>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</si>
  <si>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</si>
  <si>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</si>
  <si>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</si>
  <si>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</si>
  <si>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</si>
  <si>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</si>
  <si>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</si>
  <si>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</si>
  <si>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</si>
  <si>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</si>
  <si>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</si>
  <si>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</si>
  <si>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</si>
  <si>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</si>
  <si>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</si>
  <si>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</si>
  <si>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</si>
  <si>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</si>
  <si>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</si>
  <si>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</si>
  <si>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</si>
  <si>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</si>
  <si>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</si>
  <si>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</si>
  <si>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</si>
  <si>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</si>
  <si>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</si>
  <si>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</si>
  <si>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</si>
  <si>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</si>
  <si>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</si>
  <si>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</si>
  <si>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</si>
  <si>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</si>
  <si>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</si>
  <si>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</si>
  <si>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</si>
  <si>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</si>
  <si>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</si>
  <si>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</si>
  <si>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</si>
  <si>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</si>
  <si>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</si>
  <si>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</si>
  <si>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</si>
  <si>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</si>
  <si>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</si>
  <si>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</si>
  <si>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</si>
  <si>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</si>
  <si>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</si>
  <si>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</si>
  <si>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</si>
  <si>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</si>
  <si>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</si>
  <si>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</si>
  <si>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</si>
  <si>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</si>
  <si>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</si>
  <si>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</si>
  <si>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</si>
  <si>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</si>
  <si>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</si>
  <si>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</si>
  <si>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</si>
  <si>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</si>
  <si>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</si>
  <si>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</si>
  <si>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</si>
  <si>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</si>
  <si>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</si>
  <si>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</si>
  <si>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</si>
  <si>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</si>
  <si>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</si>
  <si>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</si>
  <si>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</si>
  <si>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</si>
  <si>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</si>
  <si>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</si>
  <si>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</si>
  <si>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</si>
  <si>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</si>
  <si>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</si>
  <si>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10%</t>
  </si>
  <si>
    <t>7.5%</t>
  </si>
  <si>
    <t>5%</t>
  </si>
  <si>
    <t>2.5%</t>
  </si>
  <si>
    <t>EOB</t>
  </si>
  <si>
    <t>24HR</t>
  </si>
  <si>
    <t>48HR</t>
  </si>
  <si>
    <t>72HR</t>
  </si>
  <si>
    <t>Pre-Death</t>
  </si>
  <si>
    <t>B-EM 02</t>
  </si>
  <si>
    <t>YES</t>
  </si>
  <si>
    <t>Rabbit weight:</t>
  </si>
  <si>
    <t>DON'T USE- Not high enough LAC at Shock</t>
  </si>
  <si>
    <t>B-EM 03</t>
  </si>
  <si>
    <t>B-EM 04</t>
  </si>
  <si>
    <t>B-EM 05</t>
  </si>
  <si>
    <t>B-EM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</si>
</sst>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;@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sz val="2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5" fillId="2" borderId="0" xfId="0" applyFont="1" applyFill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9" fontId="5" fillId="2" borderId="12" xfId="0" applyNumberFormat="1" applyFont="1" applyFill="1" applyBorder="1" applyAlignment="1" applyProtection="1">
      <alignment horizontal="center"/>
      <protection locked="0"/>
    </xf>
    <xf numFmtId="43" fontId="10" fillId="0" borderId="0" xfId="0" applyNumberFormat="1" applyFont="1" applyAlignment="1">
      <alignment horizontal="center" vertic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C22F9E2F-05F1-45DD-8B31-04B2513AB363}"/>
  </cellStyles>
  <dxfs count="14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A442-6CF7-4B0F-984F-B263904DE8F0}">
  <dimension ref="A1:AZ28"/>
  <sheetViews>
    <sheetView tabSelected="1" topLeftCell="F1" workbookViewId="0">
      <selection activeCell="C9" sqref="C9"/>
    </sheetView>
  </sheetViews>
  <sheetFormatPr defaultColWidth="8.77734375" defaultRowHeight="14.4"/>
  <cols>
    <col min="1" max="1" width="29.109375" customWidth="1"/>
    <col min="5" max="5" width="31.33203125" customWidth="1"/>
    <col min="6" max="6" width="15.6640625" customWidth="1"/>
    <col min="13" max="13" width="44.77734375" customWidth="1"/>
  </cols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5.8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5.8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25.8">
      <c r="A4" s="4" t="s">
        <v>2</v>
      </c>
      <c r="B4" s="48" t="s">
        <v>3</v>
      </c>
      <c r="C4" s="49"/>
      <c r="D4" s="5"/>
      <c r="E4" s="4" t="s">
        <v>4</v>
      </c>
      <c r="F4" s="50" t="s">
        <v>5</v>
      </c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5.8">
      <c r="A5" s="4" t="s">
        <v>6</v>
      </c>
      <c r="B5" s="48">
        <v>1.52</v>
      </c>
      <c r="C5" s="49"/>
      <c r="D5" s="5"/>
      <c r="E5" s="4" t="s">
        <v>7</v>
      </c>
      <c r="F5" s="52"/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5.8">
      <c r="A6" s="4" t="s">
        <v>8</v>
      </c>
      <c r="B6" s="55">
        <v>44949</v>
      </c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42.56</v>
      </c>
      <c r="C7" s="39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5.8">
      <c r="A8" s="4" t="s">
        <v>10</v>
      </c>
      <c r="B8" s="8">
        <v>42.56</v>
      </c>
      <c r="C8" s="40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>
        <v>7590</v>
      </c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.6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0.28472222222222221</v>
      </c>
      <c r="C15" s="17" t="s">
        <v>95</v>
      </c>
      <c r="D15" s="17">
        <v>89</v>
      </c>
      <c r="E15" s="17">
        <v>205</v>
      </c>
      <c r="F15" s="17"/>
      <c r="G15" s="31">
        <v>5.45</v>
      </c>
      <c r="H15" s="31">
        <v>11.7</v>
      </c>
      <c r="I15" s="21">
        <v>39.5</v>
      </c>
      <c r="J15" s="21">
        <v>360</v>
      </c>
      <c r="K15" s="21">
        <v>5</v>
      </c>
      <c r="L15" s="21"/>
      <c r="M15" s="37">
        <f>(L15/(((H15*10)/64500)*10^6))*100</f>
        <v>0</v>
      </c>
      <c r="N15" s="32">
        <v>1.5</v>
      </c>
      <c r="O15" s="32">
        <v>7.4770000000000003</v>
      </c>
      <c r="P15" s="32">
        <v>44.6</v>
      </c>
      <c r="Q15" s="32">
        <v>66.099999999999994</v>
      </c>
      <c r="R15" s="21">
        <v>40</v>
      </c>
      <c r="S15" s="33">
        <v>45</v>
      </c>
      <c r="T15" s="21">
        <v>128</v>
      </c>
      <c r="U15" s="21">
        <v>0.3</v>
      </c>
      <c r="V15" s="21">
        <v>10.3</v>
      </c>
      <c r="W15" s="21">
        <v>202</v>
      </c>
      <c r="X15" s="21">
        <v>53.02</v>
      </c>
      <c r="Y15" s="21">
        <v>141.22999999999999</v>
      </c>
      <c r="Z15" s="21">
        <v>7</v>
      </c>
      <c r="AA15" s="21">
        <v>10.199999999999999</v>
      </c>
      <c r="AB15" s="21">
        <v>1.8</v>
      </c>
      <c r="AC15" s="21">
        <v>68.7</v>
      </c>
      <c r="AD15" s="21">
        <v>66</v>
      </c>
      <c r="AE15" s="21">
        <v>141.30000000000001</v>
      </c>
      <c r="AF15" s="34">
        <v>15.4</v>
      </c>
      <c r="AG15" s="34">
        <v>65.099999999999994</v>
      </c>
      <c r="AH15" s="34">
        <v>1.87</v>
      </c>
    </row>
    <row r="16" spans="1:52">
      <c r="A16" s="19" t="s">
        <v>96</v>
      </c>
      <c r="B16" s="30">
        <v>0.38680555555555557</v>
      </c>
      <c r="C16" s="17" t="s">
        <v>95</v>
      </c>
      <c r="D16" s="17">
        <v>76</v>
      </c>
      <c r="E16" s="17">
        <v>263</v>
      </c>
      <c r="F16" s="17"/>
      <c r="G16" s="21">
        <v>3.55</v>
      </c>
      <c r="H16" s="21">
        <v>7.7</v>
      </c>
      <c r="I16" s="21">
        <v>23.7</v>
      </c>
      <c r="J16" s="21">
        <v>213</v>
      </c>
      <c r="K16" s="21">
        <v>5.2</v>
      </c>
      <c r="L16" s="21"/>
      <c r="M16" s="37">
        <f t="shared" ref="M16:M26" si="0">(L16/(((H16*10)/64500)*10^6))*100</f>
        <v>0</v>
      </c>
      <c r="N16" s="32">
        <v>8.1</v>
      </c>
      <c r="O16" s="32">
        <v>7.4450000000000003</v>
      </c>
      <c r="P16" s="32">
        <v>40</v>
      </c>
      <c r="Q16" s="32">
        <v>93.1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>
        <v>0.39374999999999999</v>
      </c>
      <c r="C17" s="17" t="s">
        <v>95</v>
      </c>
      <c r="D17" s="17">
        <v>75</v>
      </c>
      <c r="E17" s="17">
        <v>279</v>
      </c>
      <c r="F17" s="17"/>
      <c r="G17" s="21">
        <v>2.3199999999999998</v>
      </c>
      <c r="H17" s="21">
        <v>5.0999999999999996</v>
      </c>
      <c r="I17" s="21">
        <v>15.3</v>
      </c>
      <c r="J17" s="21">
        <v>174</v>
      </c>
      <c r="K17" s="21">
        <v>7.5</v>
      </c>
      <c r="L17" s="21"/>
      <c r="M17" s="37">
        <f t="shared" si="0"/>
        <v>0</v>
      </c>
      <c r="N17" s="32">
        <v>6.5</v>
      </c>
      <c r="O17" s="32">
        <v>7.3780000000000001</v>
      </c>
      <c r="P17" s="32">
        <v>42.6</v>
      </c>
      <c r="Q17" s="32">
        <v>83.7</v>
      </c>
      <c r="R17" s="21">
        <v>36</v>
      </c>
      <c r="S17" s="21">
        <v>24</v>
      </c>
      <c r="T17" s="21">
        <v>127</v>
      </c>
      <c r="U17" s="21">
        <v>0.8</v>
      </c>
      <c r="V17" s="21">
        <v>14.95</v>
      </c>
      <c r="W17" s="21">
        <v>53</v>
      </c>
      <c r="X17" s="21">
        <v>19.899999999999999</v>
      </c>
      <c r="Y17" s="21">
        <v>234.32</v>
      </c>
      <c r="Z17" s="21">
        <v>5</v>
      </c>
      <c r="AA17" s="21">
        <v>13.2</v>
      </c>
      <c r="AB17" s="21">
        <v>3.6</v>
      </c>
      <c r="AC17" s="21">
        <v>54.8</v>
      </c>
      <c r="AD17" s="21">
        <v>44.3</v>
      </c>
      <c r="AE17" s="21">
        <v>129.4</v>
      </c>
      <c r="AF17" s="34">
        <v>19</v>
      </c>
      <c r="AG17" s="34">
        <v>27.6</v>
      </c>
      <c r="AH17" s="34">
        <v>1.1499999999999999</v>
      </c>
    </row>
    <row r="18" spans="1:34">
      <c r="A18" s="36" t="s">
        <v>98</v>
      </c>
      <c r="B18" s="30">
        <v>0.43541666666666667</v>
      </c>
      <c r="C18" s="17" t="s">
        <v>95</v>
      </c>
      <c r="D18" s="17">
        <v>63</v>
      </c>
      <c r="E18" s="17">
        <v>287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2.2000000000000002</v>
      </c>
      <c r="O18" s="32">
        <v>7.4939999999999998</v>
      </c>
      <c r="P18" s="32">
        <v>40.6</v>
      </c>
      <c r="Q18" s="32">
        <v>89.2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0.47708333333333336</v>
      </c>
      <c r="C19" s="17" t="s">
        <v>95</v>
      </c>
      <c r="D19" s="17">
        <v>60</v>
      </c>
      <c r="E19" s="17">
        <v>165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1.5</v>
      </c>
      <c r="O19" s="32">
        <v>7.53</v>
      </c>
      <c r="P19" s="32">
        <v>34.799999999999997</v>
      </c>
      <c r="Q19" s="32">
        <v>84.4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0.51875000000000004</v>
      </c>
      <c r="C20" s="17" t="s">
        <v>95</v>
      </c>
      <c r="D20" s="17">
        <v>74</v>
      </c>
      <c r="E20" s="17">
        <v>168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1.3</v>
      </c>
      <c r="O20" s="32">
        <v>7.52</v>
      </c>
      <c r="P20" s="32">
        <v>29.8</v>
      </c>
      <c r="Q20" s="32">
        <v>80.2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0.56041666666666667</v>
      </c>
      <c r="C21" s="17" t="s">
        <v>95</v>
      </c>
      <c r="D21" s="17">
        <v>66</v>
      </c>
      <c r="E21" s="17">
        <v>169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1.5</v>
      </c>
      <c r="O21" s="32">
        <v>7.5289999999999999</v>
      </c>
      <c r="P21" s="32">
        <v>28.6</v>
      </c>
      <c r="Q21" s="32">
        <v>88.7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>
        <v>0.56736111111111109</v>
      </c>
      <c r="C22" s="17" t="s">
        <v>95</v>
      </c>
      <c r="D22" s="17">
        <v>68</v>
      </c>
      <c r="E22" s="17">
        <v>170</v>
      </c>
      <c r="F22" s="17"/>
      <c r="G22" s="21">
        <v>1.85</v>
      </c>
      <c r="H22" s="21">
        <v>4.4000000000000004</v>
      </c>
      <c r="I22" s="21">
        <v>12</v>
      </c>
      <c r="J22" s="21">
        <v>148</v>
      </c>
      <c r="K22" s="21">
        <v>0.6</v>
      </c>
      <c r="L22" s="21"/>
      <c r="M22" s="37">
        <f t="shared" si="0"/>
        <v>0</v>
      </c>
      <c r="N22" s="32">
        <v>1.5</v>
      </c>
      <c r="O22" s="32">
        <v>7.51</v>
      </c>
      <c r="P22" s="32">
        <v>30.4</v>
      </c>
      <c r="Q22" s="32">
        <v>83.4</v>
      </c>
      <c r="R22" s="21">
        <v>52</v>
      </c>
      <c r="S22" s="21">
        <v>32</v>
      </c>
      <c r="T22" s="21">
        <v>154</v>
      </c>
      <c r="U22" s="21">
        <v>0.3</v>
      </c>
      <c r="V22" s="21">
        <v>13.17</v>
      </c>
      <c r="W22" s="21">
        <v>133</v>
      </c>
      <c r="X22" s="21">
        <v>92.28</v>
      </c>
      <c r="Y22" s="21">
        <v>24.84</v>
      </c>
      <c r="Z22" s="21">
        <v>4</v>
      </c>
      <c r="AA22" s="12"/>
      <c r="AB22" s="12"/>
      <c r="AC22" s="12"/>
      <c r="AD22" s="12"/>
      <c r="AE22" s="12"/>
      <c r="AF22" s="12">
        <v>23.2</v>
      </c>
      <c r="AG22" s="34">
        <v>18.399999999999999</v>
      </c>
      <c r="AH22" s="34">
        <v>1.1499999999999999</v>
      </c>
    </row>
    <row r="23" spans="1:34">
      <c r="A23" s="19" t="s">
        <v>103</v>
      </c>
      <c r="B23" s="30">
        <v>0.39374999999999999</v>
      </c>
      <c r="C23" s="17" t="s">
        <v>95</v>
      </c>
      <c r="D23" s="17">
        <v>61</v>
      </c>
      <c r="E23" s="17">
        <v>288</v>
      </c>
      <c r="F23" s="17"/>
      <c r="G23" s="21">
        <v>2.17</v>
      </c>
      <c r="H23" s="21">
        <v>4.7</v>
      </c>
      <c r="I23" s="21">
        <v>14.3</v>
      </c>
      <c r="J23" s="21">
        <v>224</v>
      </c>
      <c r="K23" s="21">
        <v>6.6</v>
      </c>
      <c r="L23" s="21"/>
      <c r="M23" s="37">
        <f t="shared" si="0"/>
        <v>0</v>
      </c>
      <c r="N23" s="32">
        <v>2.8</v>
      </c>
      <c r="O23" s="32">
        <v>7.4939999999999998</v>
      </c>
      <c r="P23" s="32">
        <v>35.799999999999997</v>
      </c>
      <c r="Q23" s="32">
        <v>85.7</v>
      </c>
      <c r="R23" s="21">
        <v>141</v>
      </c>
      <c r="S23" s="21">
        <v>86</v>
      </c>
      <c r="T23" s="21">
        <v>286</v>
      </c>
      <c r="U23" s="21">
        <v>0.5</v>
      </c>
      <c r="V23" s="21">
        <v>16.579999999999998</v>
      </c>
      <c r="W23" s="21">
        <v>168</v>
      </c>
      <c r="X23" s="21">
        <v>239.01</v>
      </c>
      <c r="Y23" s="21">
        <v>136.66999999999999</v>
      </c>
      <c r="Z23" s="21">
        <v>5</v>
      </c>
      <c r="AA23" s="12"/>
      <c r="AB23" s="12"/>
      <c r="AC23" s="12"/>
      <c r="AD23" s="12"/>
      <c r="AE23" s="21">
        <v>140.4</v>
      </c>
      <c r="AF23" s="21">
        <v>12.6</v>
      </c>
      <c r="AG23" s="34">
        <v>25</v>
      </c>
      <c r="AH23" s="34">
        <v>2.85</v>
      </c>
    </row>
    <row r="24" spans="1:34">
      <c r="A24" s="19" t="s">
        <v>104</v>
      </c>
      <c r="B24" s="30">
        <v>0.39374999999999999</v>
      </c>
      <c r="C24" s="17" t="s">
        <v>95</v>
      </c>
      <c r="D24" s="17">
        <v>77</v>
      </c>
      <c r="E24" s="17">
        <v>296</v>
      </c>
      <c r="F24" s="17"/>
      <c r="G24" s="21">
        <v>2.25</v>
      </c>
      <c r="H24" s="21">
        <v>5.3</v>
      </c>
      <c r="I24" s="21">
        <v>16.2</v>
      </c>
      <c r="J24" s="21">
        <v>404</v>
      </c>
      <c r="K24" s="21">
        <v>14.6</v>
      </c>
      <c r="L24" s="21"/>
      <c r="M24" s="37">
        <f t="shared" si="0"/>
        <v>0</v>
      </c>
      <c r="N24" s="32">
        <v>5.0999999999999996</v>
      </c>
      <c r="O24" s="32">
        <v>7.4980000000000002</v>
      </c>
      <c r="P24" s="32">
        <v>36.6</v>
      </c>
      <c r="Q24" s="32">
        <v>83.8</v>
      </c>
      <c r="R24" s="21">
        <v>112</v>
      </c>
      <c r="S24" s="21">
        <v>126</v>
      </c>
      <c r="T24" s="21">
        <v>418</v>
      </c>
      <c r="U24" s="21">
        <v>0.6</v>
      </c>
      <c r="V24" s="21">
        <v>13.47</v>
      </c>
      <c r="W24" s="21">
        <v>250</v>
      </c>
      <c r="X24" s="21">
        <v>511.12</v>
      </c>
      <c r="Y24" s="21">
        <v>146.82</v>
      </c>
      <c r="Z24" s="21">
        <v>15</v>
      </c>
      <c r="AA24" s="12"/>
      <c r="AB24" s="12"/>
      <c r="AC24" s="12"/>
      <c r="AD24" s="12"/>
      <c r="AE24" s="12">
        <v>75.900000000000006</v>
      </c>
      <c r="AF24" s="12">
        <v>9.5</v>
      </c>
      <c r="AG24" s="34">
        <v>18.399999999999999</v>
      </c>
      <c r="AH24" s="34">
        <v>1.83</v>
      </c>
    </row>
    <row r="25" spans="1:34">
      <c r="A25" s="19" t="s">
        <v>105</v>
      </c>
      <c r="B25" s="30">
        <v>0.39374999999999999</v>
      </c>
      <c r="C25" s="17" t="s">
        <v>95</v>
      </c>
      <c r="D25" s="17">
        <v>75</v>
      </c>
      <c r="E25" s="17">
        <v>264</v>
      </c>
      <c r="F25" s="17"/>
      <c r="G25" s="21">
        <v>2.34</v>
      </c>
      <c r="H25" s="21">
        <v>5.9</v>
      </c>
      <c r="I25" s="21">
        <v>18.7</v>
      </c>
      <c r="J25" s="21">
        <v>521</v>
      </c>
      <c r="K25" s="21">
        <v>14.5</v>
      </c>
      <c r="L25" s="21"/>
      <c r="M25" s="37">
        <f t="shared" si="0"/>
        <v>0</v>
      </c>
      <c r="N25" s="32">
        <v>1.4</v>
      </c>
      <c r="O25" s="32">
        <v>7.4359999999999999</v>
      </c>
      <c r="P25" s="32">
        <v>47.7</v>
      </c>
      <c r="Q25" s="32">
        <v>67.900000000000006</v>
      </c>
      <c r="R25" s="21">
        <v>54</v>
      </c>
      <c r="S25" s="21">
        <v>111</v>
      </c>
      <c r="T25" s="21">
        <v>149</v>
      </c>
      <c r="U25" s="21">
        <v>0.5</v>
      </c>
      <c r="V25" s="21">
        <v>9.2899999999999991</v>
      </c>
      <c r="W25" s="21">
        <v>208</v>
      </c>
      <c r="X25" s="21">
        <v>172.88</v>
      </c>
      <c r="Y25" s="21">
        <v>139.16</v>
      </c>
      <c r="Z25" s="21">
        <v>7</v>
      </c>
      <c r="AA25" s="12"/>
      <c r="AB25" s="12"/>
      <c r="AC25" s="12"/>
      <c r="AD25" s="12"/>
      <c r="AE25" s="12">
        <v>138.4</v>
      </c>
      <c r="AF25" s="12">
        <v>12.2</v>
      </c>
      <c r="AG25" s="34">
        <v>28.5</v>
      </c>
      <c r="AH25" s="34">
        <v>2.34</v>
      </c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86A607C-434A-421C-9B99-BAB7E4C3E7DE}">
      <formula1>"incomplete,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B02C-413D-4755-AB18-C3788E8E2724}">
  <dimension ref="A1:AZ28"/>
  <sheetViews>
    <sheetView topLeftCell="A3" workbookViewId="0">
      <selection activeCell="F5" sqref="F5:G5"/>
    </sheetView>
  </sheetViews>
  <sheetFormatPr defaultColWidth="8.77734375" defaultRowHeight="14.4"/>
  <cols>
    <col min="1" max="1" width="29.33203125" customWidth="1"/>
    <col min="5" max="5" width="17.77734375" customWidth="1"/>
    <col min="6" max="6" width="60.6640625" customWidth="1"/>
    <col min="13" max="13" width="19" customWidth="1"/>
  </cols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5.8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5.8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25.8">
      <c r="A4" s="4" t="s">
        <v>2</v>
      </c>
      <c r="B4" s="48" t="s">
        <v>107</v>
      </c>
      <c r="C4" s="49"/>
      <c r="D4" s="5"/>
      <c r="E4" s="4" t="s">
        <v>4</v>
      </c>
      <c r="F4" s="50" t="s">
        <v>108</v>
      </c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5.8">
      <c r="A5" s="4" t="s">
        <v>109</v>
      </c>
      <c r="B5" s="48">
        <v>1.65</v>
      </c>
      <c r="C5" s="49"/>
      <c r="D5" s="5"/>
      <c r="E5" s="4" t="s">
        <v>7</v>
      </c>
      <c r="F5" s="52" t="s">
        <v>110</v>
      </c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5.8">
      <c r="A6" s="4" t="s">
        <v>8</v>
      </c>
      <c r="B6" s="55">
        <v>44584</v>
      </c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46.1</v>
      </c>
      <c r="C7" s="39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5.8">
      <c r="A8" s="4" t="s">
        <v>10</v>
      </c>
      <c r="B8" s="8">
        <v>46.1</v>
      </c>
      <c r="C8" s="40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>
        <v>7594</v>
      </c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.6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0.29166666666666669</v>
      </c>
      <c r="C15" s="17" t="s">
        <v>95</v>
      </c>
      <c r="D15" s="17">
        <v>67</v>
      </c>
      <c r="E15" s="17">
        <v>240</v>
      </c>
      <c r="F15" s="17"/>
      <c r="G15" s="31">
        <v>5.49</v>
      </c>
      <c r="H15" s="31">
        <v>11</v>
      </c>
      <c r="I15" s="21">
        <v>34.700000000000003</v>
      </c>
      <c r="J15" s="21">
        <v>349</v>
      </c>
      <c r="K15" s="21"/>
      <c r="L15" s="21"/>
      <c r="M15" s="37">
        <f>(L15/(((H15*10)/64500)*10^6))*100</f>
        <v>0</v>
      </c>
      <c r="N15" s="32">
        <v>3.6</v>
      </c>
      <c r="O15" s="32"/>
      <c r="P15" s="32"/>
      <c r="Q15" s="32"/>
      <c r="R15" s="21"/>
      <c r="S15" s="33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96</v>
      </c>
      <c r="B16" s="30">
        <v>0.41111111111111109</v>
      </c>
      <c r="C16" s="17" t="s">
        <v>95</v>
      </c>
      <c r="D16" s="17">
        <v>82</v>
      </c>
      <c r="E16" s="17">
        <v>206</v>
      </c>
      <c r="F16" s="17"/>
      <c r="G16" s="21">
        <v>3.93</v>
      </c>
      <c r="H16" s="21">
        <v>8</v>
      </c>
      <c r="I16" s="21">
        <v>24.4</v>
      </c>
      <c r="J16" s="21">
        <v>254</v>
      </c>
      <c r="K16" s="21"/>
      <c r="L16" s="21"/>
      <c r="M16" s="37">
        <f t="shared" ref="M16:M26" si="0">(L16/(((H16*10)/64500)*10^6))*100</f>
        <v>0</v>
      </c>
      <c r="N16" s="32">
        <v>2.5</v>
      </c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>
        <v>0.41805555555555557</v>
      </c>
      <c r="C17" s="17" t="s">
        <v>95</v>
      </c>
      <c r="D17" s="17">
        <v>60</v>
      </c>
      <c r="E17" s="17">
        <v>235</v>
      </c>
      <c r="F17" s="17"/>
      <c r="G17" s="21">
        <v>2.56</v>
      </c>
      <c r="H17" s="21">
        <v>5.3</v>
      </c>
      <c r="I17" s="21">
        <v>15.8</v>
      </c>
      <c r="J17" s="21">
        <v>199</v>
      </c>
      <c r="K17" s="21"/>
      <c r="L17" s="21"/>
      <c r="M17" s="37">
        <f t="shared" si="0"/>
        <v>0</v>
      </c>
      <c r="N17" s="32">
        <v>2.2000000000000002</v>
      </c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36" t="s">
        <v>98</v>
      </c>
      <c r="B18" s="30">
        <v>0.4597222222222222</v>
      </c>
      <c r="C18" s="17" t="s">
        <v>95</v>
      </c>
      <c r="D18" s="17">
        <v>58</v>
      </c>
      <c r="E18" s="17">
        <v>282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1.4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0.50138888888888888</v>
      </c>
      <c r="C19" s="17" t="s">
        <v>95</v>
      </c>
      <c r="D19" s="17">
        <v>58</v>
      </c>
      <c r="E19" s="17">
        <v>282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1.3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0.54305555555555551</v>
      </c>
      <c r="C20" s="17" t="s">
        <v>95</v>
      </c>
      <c r="D20" s="17">
        <v>66</v>
      </c>
      <c r="E20" s="17">
        <v>172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2.5</v>
      </c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0.58472222222222225</v>
      </c>
      <c r="C21" s="17" t="s">
        <v>95</v>
      </c>
      <c r="D21" s="17">
        <v>57</v>
      </c>
      <c r="E21" s="17">
        <v>282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2.9</v>
      </c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>
        <v>0.59166666666666667</v>
      </c>
      <c r="C22" s="17" t="s">
        <v>95</v>
      </c>
      <c r="D22" s="17">
        <v>55</v>
      </c>
      <c r="E22" s="17">
        <v>218</v>
      </c>
      <c r="F22" s="17"/>
      <c r="G22" s="21">
        <v>2.34</v>
      </c>
      <c r="H22" s="21">
        <v>4.8</v>
      </c>
      <c r="I22" s="21">
        <v>14.2</v>
      </c>
      <c r="J22" s="21">
        <v>219</v>
      </c>
      <c r="K22" s="21"/>
      <c r="L22" s="21"/>
      <c r="M22" s="37">
        <f t="shared" si="0"/>
        <v>0</v>
      </c>
      <c r="N22" s="32">
        <v>2.5</v>
      </c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103</v>
      </c>
      <c r="B23" s="30">
        <v>0.41805555555555557</v>
      </c>
      <c r="C23" s="17" t="s">
        <v>95</v>
      </c>
      <c r="D23" s="17">
        <v>63</v>
      </c>
      <c r="E23" s="17">
        <v>226</v>
      </c>
      <c r="F23" s="17"/>
      <c r="G23" s="21">
        <v>2.48</v>
      </c>
      <c r="H23" s="21">
        <v>4.9000000000000004</v>
      </c>
      <c r="I23" s="21">
        <v>15.1</v>
      </c>
      <c r="J23" s="21"/>
      <c r="K23" s="21"/>
      <c r="L23" s="21"/>
      <c r="M23" s="37">
        <f t="shared" si="0"/>
        <v>0</v>
      </c>
      <c r="N23" s="32">
        <v>3.5</v>
      </c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104</v>
      </c>
      <c r="B24" s="30">
        <v>0.41805555555555557</v>
      </c>
      <c r="C24" s="17" t="s">
        <v>95</v>
      </c>
      <c r="D24" s="17">
        <v>67</v>
      </c>
      <c r="E24" s="17">
        <v>173</v>
      </c>
      <c r="F24" s="17"/>
      <c r="G24" s="21">
        <v>2.2599999999999998</v>
      </c>
      <c r="H24" s="21">
        <v>4.5</v>
      </c>
      <c r="I24" s="21">
        <v>13.6</v>
      </c>
      <c r="J24" s="21"/>
      <c r="K24" s="21"/>
      <c r="L24" s="21"/>
      <c r="M24" s="37">
        <f t="shared" si="0"/>
        <v>0</v>
      </c>
      <c r="N24" s="32">
        <v>2.7</v>
      </c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105</v>
      </c>
      <c r="B25" s="30">
        <v>0.41805555555555557</v>
      </c>
      <c r="C25" s="17" t="s">
        <v>95</v>
      </c>
      <c r="D25" s="17">
        <v>57</v>
      </c>
      <c r="E25" s="17">
        <v>273</v>
      </c>
      <c r="F25" s="17"/>
      <c r="G25" s="21">
        <v>2.21</v>
      </c>
      <c r="H25" s="21">
        <v>4.5</v>
      </c>
      <c r="I25" s="21">
        <v>13.7</v>
      </c>
      <c r="J25" s="21"/>
      <c r="K25" s="21"/>
      <c r="L25" s="21"/>
      <c r="M25" s="37">
        <f t="shared" si="0"/>
        <v>0</v>
      </c>
      <c r="N25" s="32">
        <v>2.8</v>
      </c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152DCD8-E1F6-4890-9FE0-03FE764DB70C}">
      <formula1>"incomplete,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FD9-6481-4347-AB29-F89C6B8C5CA5}">
  <dimension ref="A1:AZ28"/>
  <sheetViews>
    <sheetView topLeftCell="E1" workbookViewId="0">
      <selection activeCell="K25" sqref="K25"/>
    </sheetView>
  </sheetViews>
  <sheetFormatPr defaultColWidth="8.77734375" defaultRowHeight="14.4"/>
  <cols>
    <col min="1" max="1" width="29" bestFit="1" customWidth="1"/>
    <col min="2" max="2" width="10.44140625" bestFit="1" customWidth="1"/>
    <col min="3" max="3" width="15.109375" bestFit="1" customWidth="1"/>
    <col min="4" max="4" width="11.6640625" bestFit="1" customWidth="1"/>
    <col min="5" max="5" width="16.109375" bestFit="1" customWidth="1"/>
    <col min="6" max="6" width="27.33203125" customWidth="1"/>
    <col min="7" max="9" width="11.6640625" bestFit="1" customWidth="1"/>
    <col min="10" max="10" width="23.33203125" bestFit="1" customWidth="1"/>
    <col min="11" max="11" width="11.6640625" bestFit="1" customWidth="1"/>
    <col min="12" max="13" width="11.109375" bestFit="1" customWidth="1"/>
    <col min="14" max="14" width="23.44140625" bestFit="1" customWidth="1"/>
    <col min="15" max="34" width="11.6640625" bestFit="1" customWidth="1"/>
    <col min="35" max="35" width="17" bestFit="1" customWidth="1"/>
    <col min="36" max="36" width="12.6640625" bestFit="1" customWidth="1"/>
    <col min="37" max="37" width="14.109375" bestFit="1" customWidth="1"/>
    <col min="38" max="38" width="12.6640625" bestFit="1" customWidth="1"/>
    <col min="39" max="39" width="11.44140625" bestFit="1" customWidth="1"/>
    <col min="40" max="40" width="14" bestFit="1" customWidth="1"/>
    <col min="41" max="41" width="14.77734375" bestFit="1" customWidth="1"/>
    <col min="42" max="42" width="15.44140625" bestFit="1" customWidth="1"/>
    <col min="43" max="43" width="13.6640625" bestFit="1" customWidth="1"/>
    <col min="44" max="44" width="13.77734375" bestFit="1" customWidth="1"/>
    <col min="45" max="45" width="12.44140625" bestFit="1" customWidth="1"/>
    <col min="46" max="46" width="16.33203125" bestFit="1" customWidth="1"/>
    <col min="47" max="47" width="14.109375" bestFit="1" customWidth="1"/>
    <col min="48" max="48" width="13.6640625" bestFit="1" customWidth="1"/>
    <col min="49" max="49" width="14.44140625" bestFit="1" customWidth="1"/>
    <col min="50" max="50" width="13.33203125" bestFit="1" customWidth="1"/>
    <col min="51" max="52" width="11.109375" bestFit="1" customWidth="1"/>
  </cols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4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48" t="s">
        <v>111</v>
      </c>
      <c r="C4" s="49"/>
      <c r="D4" s="5"/>
      <c r="E4" s="4" t="s">
        <v>4</v>
      </c>
      <c r="F4" s="50" t="s">
        <v>5</v>
      </c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4" thickBot="1">
      <c r="A5" s="4" t="s">
        <v>109</v>
      </c>
      <c r="B5" s="48">
        <v>1.8</v>
      </c>
      <c r="C5" s="49"/>
      <c r="D5" s="5"/>
      <c r="E5" s="4" t="s">
        <v>7</v>
      </c>
      <c r="F5" s="52"/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4" thickBot="1">
      <c r="A6" s="4" t="s">
        <v>8</v>
      </c>
      <c r="B6" s="55">
        <v>44950</v>
      </c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50.4</v>
      </c>
      <c r="C7" s="39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4" thickBot="1">
      <c r="A8" s="4" t="s">
        <v>10</v>
      </c>
      <c r="B8" s="8">
        <v>50.4</v>
      </c>
      <c r="C8" s="40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>
        <v>7811</v>
      </c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" customHeight="1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 ht="15.75" customHeight="1" thickBot="1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0.28472222222222221</v>
      </c>
      <c r="C15" s="17" t="s">
        <v>95</v>
      </c>
      <c r="D15" s="17">
        <v>81</v>
      </c>
      <c r="E15" s="17">
        <v>230</v>
      </c>
      <c r="F15" s="17"/>
      <c r="G15" s="31">
        <v>5.85</v>
      </c>
      <c r="H15" s="31">
        <v>12.4</v>
      </c>
      <c r="I15" s="21">
        <v>38.799999999999997</v>
      </c>
      <c r="J15" s="21">
        <v>15</v>
      </c>
      <c r="K15" s="21">
        <v>6.9</v>
      </c>
      <c r="L15" s="21"/>
      <c r="M15" s="37">
        <f>(L15/(((H15*10)/64500)*10^6))*100</f>
        <v>0</v>
      </c>
      <c r="N15" s="32">
        <v>1</v>
      </c>
      <c r="O15" s="32">
        <v>7.625</v>
      </c>
      <c r="P15" s="32">
        <v>21.7</v>
      </c>
      <c r="Q15" s="32">
        <v>217</v>
      </c>
      <c r="R15" s="21">
        <v>38</v>
      </c>
      <c r="S15" s="33">
        <v>45</v>
      </c>
      <c r="T15" s="21">
        <v>120</v>
      </c>
      <c r="U15" s="21">
        <v>0.5</v>
      </c>
      <c r="V15" s="21">
        <v>10</v>
      </c>
      <c r="W15" s="21">
        <v>416</v>
      </c>
      <c r="X15" s="21">
        <v>131.18</v>
      </c>
      <c r="Y15" s="21">
        <v>145.31</v>
      </c>
      <c r="Z15" s="21">
        <v>9</v>
      </c>
      <c r="AA15" s="21">
        <v>9</v>
      </c>
      <c r="AB15" s="21">
        <v>1.8</v>
      </c>
      <c r="AC15" s="21">
        <v>68.400000000000006</v>
      </c>
      <c r="AD15" s="21">
        <v>68.7</v>
      </c>
      <c r="AE15" s="21">
        <v>141.6</v>
      </c>
      <c r="AF15" s="34">
        <v>13.3</v>
      </c>
      <c r="AG15" s="34">
        <v>28.3</v>
      </c>
      <c r="AH15" s="34">
        <v>2.81</v>
      </c>
    </row>
    <row r="16" spans="1:52">
      <c r="A16" s="19" t="s">
        <v>96</v>
      </c>
      <c r="B16" s="30">
        <v>0.38611111111111113</v>
      </c>
      <c r="C16" s="17" t="s">
        <v>95</v>
      </c>
      <c r="D16" s="17">
        <v>49</v>
      </c>
      <c r="E16" s="17">
        <v>285</v>
      </c>
      <c r="F16" s="17"/>
      <c r="G16" s="21">
        <v>3.54</v>
      </c>
      <c r="H16" s="21">
        <v>7.3</v>
      </c>
      <c r="I16" s="21">
        <v>23.2</v>
      </c>
      <c r="J16" s="21">
        <v>196</v>
      </c>
      <c r="K16" s="21">
        <v>5.5</v>
      </c>
      <c r="L16" s="21"/>
      <c r="M16" s="37">
        <f t="shared" ref="M16:M26" si="0">(L16/(((H16*10)/64500)*10^6))*100</f>
        <v>0</v>
      </c>
      <c r="N16" s="32">
        <v>9.6999999999999993</v>
      </c>
      <c r="O16" s="32">
        <v>7.3949999999999996</v>
      </c>
      <c r="P16" s="32">
        <v>33.799999999999997</v>
      </c>
      <c r="Q16" s="32">
        <v>98.5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>
        <v>0.39305555555555555</v>
      </c>
      <c r="C17" s="17" t="s">
        <v>95</v>
      </c>
      <c r="D17" s="17">
        <v>69</v>
      </c>
      <c r="E17" s="17">
        <v>281</v>
      </c>
      <c r="F17" s="17"/>
      <c r="G17" s="21">
        <v>2.35</v>
      </c>
      <c r="H17" s="21">
        <v>4.9000000000000004</v>
      </c>
      <c r="I17" s="21">
        <v>15.3</v>
      </c>
      <c r="J17" s="21">
        <v>119</v>
      </c>
      <c r="K17" s="21">
        <v>5.3</v>
      </c>
      <c r="L17" s="21"/>
      <c r="M17" s="37">
        <f t="shared" si="0"/>
        <v>0</v>
      </c>
      <c r="N17" s="32">
        <v>8.8000000000000007</v>
      </c>
      <c r="O17" s="32">
        <v>7.2709999999999999</v>
      </c>
      <c r="P17" s="32">
        <v>42.8</v>
      </c>
      <c r="Q17" s="32">
        <v>87.3</v>
      </c>
      <c r="R17" s="21">
        <v>78</v>
      </c>
      <c r="S17" s="21">
        <v>39</v>
      </c>
      <c r="T17" s="21">
        <v>195</v>
      </c>
      <c r="U17" s="21">
        <v>0.2</v>
      </c>
      <c r="V17" s="21">
        <v>16.63</v>
      </c>
      <c r="W17" s="21">
        <v>226</v>
      </c>
      <c r="X17" s="21">
        <v>154.96</v>
      </c>
      <c r="Y17" s="21">
        <v>285.93</v>
      </c>
      <c r="Z17" s="21">
        <v>6</v>
      </c>
      <c r="AA17" s="21">
        <v>6.2</v>
      </c>
      <c r="AB17" s="21">
        <v>2.2000000000000002</v>
      </c>
      <c r="AC17" s="21">
        <v>63</v>
      </c>
      <c r="AD17" s="21">
        <v>53.7</v>
      </c>
      <c r="AE17" s="21">
        <v>136.6</v>
      </c>
      <c r="AF17" s="34">
        <v>14.9</v>
      </c>
      <c r="AG17" s="34">
        <v>13.7</v>
      </c>
      <c r="AH17" s="34">
        <v>0.9</v>
      </c>
    </row>
    <row r="18" spans="1:34">
      <c r="A18" s="36" t="s">
        <v>98</v>
      </c>
      <c r="B18" s="30">
        <v>0.43472222222222223</v>
      </c>
      <c r="C18" s="17" t="s">
        <v>95</v>
      </c>
      <c r="D18" s="17">
        <v>59</v>
      </c>
      <c r="E18" s="17">
        <v>279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5.8</v>
      </c>
      <c r="O18" s="32">
        <v>7.476</v>
      </c>
      <c r="P18" s="32">
        <v>30.2</v>
      </c>
      <c r="Q18" s="32">
        <v>107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0.47222222222222221</v>
      </c>
      <c r="C19" s="17" t="s">
        <v>95</v>
      </c>
      <c r="D19" s="17">
        <v>63</v>
      </c>
      <c r="E19" s="17">
        <v>227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4.3</v>
      </c>
      <c r="O19" s="32">
        <v>7.4539999999999997</v>
      </c>
      <c r="P19" s="32">
        <v>23.9</v>
      </c>
      <c r="Q19" s="32">
        <v>108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0.51388888888888884</v>
      </c>
      <c r="C20" s="17" t="s">
        <v>95</v>
      </c>
      <c r="D20" s="17">
        <v>75</v>
      </c>
      <c r="E20" s="17">
        <v>189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6.9</v>
      </c>
      <c r="O20" s="32">
        <v>7.4569999999999999</v>
      </c>
      <c r="P20" s="32">
        <v>20.100000000000001</v>
      </c>
      <c r="Q20" s="32">
        <v>102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0.55555555555555558</v>
      </c>
      <c r="C21" s="17" t="s">
        <v>95</v>
      </c>
      <c r="D21" s="17">
        <v>75</v>
      </c>
      <c r="E21" s="17">
        <v>179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6.1</v>
      </c>
      <c r="O21" s="32">
        <v>7.47</v>
      </c>
      <c r="P21" s="32">
        <v>17</v>
      </c>
      <c r="Q21" s="32">
        <v>111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>
        <v>0.5625</v>
      </c>
      <c r="C22" s="17" t="s">
        <v>95</v>
      </c>
      <c r="D22" s="17">
        <v>70</v>
      </c>
      <c r="E22" s="17">
        <v>184</v>
      </c>
      <c r="F22" s="17"/>
      <c r="G22" s="21">
        <v>1.69</v>
      </c>
      <c r="H22" s="21">
        <v>3.9</v>
      </c>
      <c r="I22" s="21">
        <v>10.8</v>
      </c>
      <c r="J22" s="21">
        <v>99</v>
      </c>
      <c r="K22" s="21">
        <v>1.2</v>
      </c>
      <c r="L22" s="21"/>
      <c r="M22" s="37">
        <f t="shared" si="0"/>
        <v>0</v>
      </c>
      <c r="N22" s="32">
        <v>7.1</v>
      </c>
      <c r="O22" s="32">
        <v>7.7220000000000004</v>
      </c>
      <c r="P22" s="32">
        <v>9.1</v>
      </c>
      <c r="Q22" s="32">
        <v>191</v>
      </c>
      <c r="R22" s="21">
        <v>264</v>
      </c>
      <c r="S22" s="21">
        <v>79</v>
      </c>
      <c r="T22" s="21">
        <v>234</v>
      </c>
      <c r="U22" s="21">
        <v>0.8</v>
      </c>
      <c r="V22" s="21">
        <v>24.52</v>
      </c>
      <c r="W22" s="21">
        <v>250</v>
      </c>
      <c r="X22" s="21">
        <v>248.08</v>
      </c>
      <c r="Y22" s="21">
        <v>109.52</v>
      </c>
      <c r="Z22" s="21">
        <v>6</v>
      </c>
      <c r="AA22" s="12"/>
      <c r="AB22" s="12"/>
      <c r="AC22" s="12"/>
      <c r="AD22" s="12"/>
      <c r="AE22" s="12">
        <v>85.6</v>
      </c>
      <c r="AF22" s="12">
        <v>13.5</v>
      </c>
      <c r="AG22" s="34">
        <v>12.4</v>
      </c>
      <c r="AH22" s="34">
        <v>0.95</v>
      </c>
    </row>
    <row r="23" spans="1:34">
      <c r="A23" s="19" t="s">
        <v>103</v>
      </c>
      <c r="B23" s="30">
        <v>0.39305555555555555</v>
      </c>
      <c r="C23" s="17" t="s">
        <v>95</v>
      </c>
      <c r="D23" s="17">
        <v>81</v>
      </c>
      <c r="E23" s="17">
        <v>180</v>
      </c>
      <c r="F23" s="17"/>
      <c r="G23" s="21">
        <v>1.71</v>
      </c>
      <c r="H23" s="21">
        <v>3.7</v>
      </c>
      <c r="I23" s="21">
        <v>10.9</v>
      </c>
      <c r="J23" s="21">
        <v>152</v>
      </c>
      <c r="K23" s="21">
        <v>7.1</v>
      </c>
      <c r="L23" s="21"/>
      <c r="M23" s="37">
        <f t="shared" si="0"/>
        <v>0</v>
      </c>
      <c r="N23" s="32">
        <v>4.4000000000000004</v>
      </c>
      <c r="O23">
        <v>7.6920000000000002</v>
      </c>
      <c r="P23">
        <v>15.2</v>
      </c>
      <c r="Q23" s="32">
        <v>170</v>
      </c>
      <c r="R23" s="21">
        <v>650</v>
      </c>
      <c r="S23" s="21">
        <v>281</v>
      </c>
      <c r="T23" s="21">
        <v>737</v>
      </c>
      <c r="U23" s="21">
        <v>0.7</v>
      </c>
      <c r="V23" s="21">
        <v>38.42</v>
      </c>
      <c r="W23" s="21">
        <v>243</v>
      </c>
      <c r="X23" s="21">
        <v>402.72</v>
      </c>
      <c r="Y23" s="21">
        <v>160.13</v>
      </c>
      <c r="Z23" s="21">
        <v>9</v>
      </c>
      <c r="AA23" s="12">
        <v>13.8</v>
      </c>
      <c r="AB23" s="12">
        <v>4.3</v>
      </c>
      <c r="AC23" s="12">
        <v>47.2</v>
      </c>
      <c r="AD23" s="12">
        <v>70.8</v>
      </c>
      <c r="AE23" s="12">
        <v>79.900000000000006</v>
      </c>
      <c r="AF23" s="12">
        <v>10.7</v>
      </c>
      <c r="AG23" s="34">
        <v>16.2</v>
      </c>
      <c r="AH23" s="34">
        <v>2.5499999999999998</v>
      </c>
    </row>
    <row r="24" spans="1:34">
      <c r="A24" s="19" t="s">
        <v>104</v>
      </c>
      <c r="B24" s="30">
        <v>0.39305555555555555</v>
      </c>
      <c r="C24" s="17" t="s">
        <v>95</v>
      </c>
      <c r="D24" s="17">
        <v>70</v>
      </c>
      <c r="E24" s="17">
        <v>293</v>
      </c>
      <c r="F24" s="17"/>
      <c r="G24" s="21">
        <v>1.6</v>
      </c>
      <c r="H24" s="21">
        <v>3.5</v>
      </c>
      <c r="I24" s="21">
        <v>10.7</v>
      </c>
      <c r="J24" s="21">
        <v>206</v>
      </c>
      <c r="K24" s="21">
        <v>13.4</v>
      </c>
      <c r="L24" s="21"/>
      <c r="M24" s="37">
        <f t="shared" si="0"/>
        <v>0</v>
      </c>
      <c r="N24" s="32">
        <v>4.0999999999999996</v>
      </c>
      <c r="O24" s="32">
        <v>7.5190000000000001</v>
      </c>
      <c r="P24" s="32">
        <v>29.1</v>
      </c>
      <c r="Q24" s="32">
        <v>81.900000000000006</v>
      </c>
      <c r="R24" s="21">
        <v>462</v>
      </c>
      <c r="S24" s="21">
        <v>352</v>
      </c>
      <c r="T24" s="21">
        <v>727</v>
      </c>
      <c r="U24" s="21">
        <v>0.6</v>
      </c>
      <c r="V24" s="21">
        <v>18.07</v>
      </c>
      <c r="W24" s="21">
        <v>552</v>
      </c>
      <c r="X24" s="21">
        <v>427.69</v>
      </c>
      <c r="Y24" s="21">
        <v>139.96</v>
      </c>
      <c r="Z24" s="21">
        <v>13</v>
      </c>
      <c r="AA24" s="12"/>
      <c r="AB24" s="12"/>
      <c r="AC24" s="12"/>
      <c r="AD24" s="12"/>
      <c r="AE24" s="12">
        <v>95.4</v>
      </c>
      <c r="AF24" s="12">
        <v>10.4</v>
      </c>
      <c r="AG24" s="34">
        <v>20.3</v>
      </c>
      <c r="AH24" s="34">
        <v>3.6</v>
      </c>
    </row>
    <row r="25" spans="1:34">
      <c r="A25" s="19" t="s">
        <v>105</v>
      </c>
      <c r="B25" s="30">
        <v>0.39305555555555555</v>
      </c>
      <c r="C25" s="17" t="s">
        <v>95</v>
      </c>
      <c r="D25" s="17">
        <v>66</v>
      </c>
      <c r="E25" s="17">
        <v>289</v>
      </c>
      <c r="F25" s="17"/>
      <c r="G25" s="21">
        <v>1.8</v>
      </c>
      <c r="H25" s="21">
        <v>4</v>
      </c>
      <c r="I25" s="21">
        <v>12.9</v>
      </c>
      <c r="J25" s="21">
        <v>292</v>
      </c>
      <c r="K25" s="21">
        <v>14</v>
      </c>
      <c r="L25" s="21"/>
      <c r="M25" s="37">
        <f t="shared" si="0"/>
        <v>0</v>
      </c>
      <c r="N25" s="32">
        <v>4</v>
      </c>
      <c r="O25" s="32">
        <v>7.4720000000000004</v>
      </c>
      <c r="P25" s="32">
        <v>32.9</v>
      </c>
      <c r="Q25" s="32">
        <v>75.2</v>
      </c>
      <c r="R25" s="21">
        <v>176</v>
      </c>
      <c r="S25" s="21">
        <v>311</v>
      </c>
      <c r="T25" s="21">
        <v>298</v>
      </c>
      <c r="U25" s="21">
        <v>0.5</v>
      </c>
      <c r="V25" s="21">
        <v>17.329999999999998</v>
      </c>
      <c r="W25" s="21">
        <v>437</v>
      </c>
      <c r="X25" s="21">
        <v>457.14</v>
      </c>
      <c r="Y25" s="21">
        <v>132.57</v>
      </c>
      <c r="Z25" s="21">
        <v>13</v>
      </c>
      <c r="AA25" s="12"/>
      <c r="AB25" s="12"/>
      <c r="AC25" s="12"/>
      <c r="AD25" s="12"/>
      <c r="AE25" s="12">
        <v>80.3</v>
      </c>
      <c r="AF25" s="12">
        <v>9</v>
      </c>
      <c r="AG25" s="34">
        <v>16.5</v>
      </c>
      <c r="AH25" s="34">
        <v>2.52</v>
      </c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5723E88-C4E7-437A-8563-0E0E462B97F1}">
      <formula1>"incomplete,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ED23-9B68-45A9-903C-367D1D50E4D2}">
  <dimension ref="A1:AZ28"/>
  <sheetViews>
    <sheetView topLeftCell="C5" workbookViewId="0">
      <selection activeCell="K26" sqref="K26"/>
    </sheetView>
  </sheetViews>
  <sheetFormatPr defaultColWidth="8.77734375" defaultRowHeight="14.4"/>
  <cols>
    <col min="1" max="1" width="26.77734375" customWidth="1"/>
    <col min="2" max="2" width="14.44140625" customWidth="1"/>
    <col min="3" max="3" width="16.33203125" customWidth="1"/>
    <col min="4" max="4" width="12.6640625" customWidth="1"/>
    <col min="5" max="5" width="28.44140625" customWidth="1"/>
    <col min="6" max="6" width="24.33203125" customWidth="1"/>
    <col min="13" max="13" width="27" customWidth="1"/>
  </cols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5.8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5.8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25.8">
      <c r="A4" s="4" t="s">
        <v>2</v>
      </c>
      <c r="B4" s="48" t="s">
        <v>112</v>
      </c>
      <c r="C4" s="49"/>
      <c r="D4" s="5"/>
      <c r="E4" s="4" t="s">
        <v>4</v>
      </c>
      <c r="F4" s="50" t="s">
        <v>5</v>
      </c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5.8">
      <c r="A5" s="4" t="s">
        <v>109</v>
      </c>
      <c r="B5" s="48">
        <v>1.56</v>
      </c>
      <c r="C5" s="49"/>
      <c r="D5" s="5"/>
      <c r="E5" s="4" t="s">
        <v>7</v>
      </c>
      <c r="F5" s="52"/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5.8">
      <c r="A6" s="4" t="s">
        <v>8</v>
      </c>
      <c r="B6" s="55">
        <v>44950</v>
      </c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49.82</v>
      </c>
      <c r="C7" s="39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5.8">
      <c r="A8" s="4" t="s">
        <v>10</v>
      </c>
      <c r="B8" s="8">
        <v>49.82</v>
      </c>
      <c r="C8" s="40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>
        <v>7795</v>
      </c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.6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0.28472222222222221</v>
      </c>
      <c r="C15" s="17" t="s">
        <v>95</v>
      </c>
      <c r="D15" s="17">
        <v>71</v>
      </c>
      <c r="E15" s="17">
        <v>169</v>
      </c>
      <c r="F15" s="17"/>
      <c r="G15" s="31">
        <v>5.25</v>
      </c>
      <c r="H15" s="31">
        <v>11</v>
      </c>
      <c r="I15" s="21">
        <v>34.9</v>
      </c>
      <c r="J15" s="21">
        <v>18</v>
      </c>
      <c r="K15" s="21">
        <v>5.5</v>
      </c>
      <c r="L15" s="21"/>
      <c r="M15" s="37">
        <f>(L15/(((H15*10)/64500)*10^6))*100</f>
        <v>0</v>
      </c>
      <c r="N15" s="32">
        <v>1.1000000000000001</v>
      </c>
      <c r="O15" s="32">
        <v>7.5810000000000004</v>
      </c>
      <c r="P15" s="32">
        <v>27.1</v>
      </c>
      <c r="Q15" s="32">
        <v>194</v>
      </c>
      <c r="R15" s="21">
        <v>650</v>
      </c>
      <c r="S15" s="33">
        <v>44</v>
      </c>
      <c r="T15" s="21">
        <v>197</v>
      </c>
      <c r="U15" s="21">
        <v>0.4</v>
      </c>
      <c r="V15" s="21">
        <v>9.69</v>
      </c>
      <c r="W15" s="21">
        <v>215</v>
      </c>
      <c r="X15" s="21">
        <v>101.68</v>
      </c>
      <c r="Y15" s="21">
        <v>151.24</v>
      </c>
      <c r="Z15" s="21">
        <v>11</v>
      </c>
      <c r="AA15" s="21"/>
      <c r="AB15" s="21"/>
      <c r="AC15" s="21"/>
      <c r="AD15" s="21"/>
      <c r="AE15" s="21">
        <v>139.4</v>
      </c>
      <c r="AF15" s="34">
        <v>17</v>
      </c>
      <c r="AG15" s="34">
        <v>21</v>
      </c>
      <c r="AH15" s="34">
        <v>2.2999999999999998</v>
      </c>
    </row>
    <row r="16" spans="1:52">
      <c r="A16" s="19" t="s">
        <v>96</v>
      </c>
      <c r="B16" s="30">
        <v>0.40555555555555556</v>
      </c>
      <c r="C16" s="17" t="s">
        <v>95</v>
      </c>
      <c r="D16" s="17">
        <v>35</v>
      </c>
      <c r="E16" s="17">
        <v>266</v>
      </c>
      <c r="F16" s="17"/>
      <c r="G16" s="21">
        <v>2.42</v>
      </c>
      <c r="H16" s="21">
        <v>5.2</v>
      </c>
      <c r="I16" s="21">
        <v>15.9</v>
      </c>
      <c r="J16" s="21">
        <v>190</v>
      </c>
      <c r="K16" s="21">
        <v>3.5</v>
      </c>
      <c r="L16" s="21"/>
      <c r="M16" s="37">
        <f t="shared" ref="M16:M26" si="0">(L16/(((H16*10)/64500)*10^6))*100</f>
        <v>0</v>
      </c>
      <c r="N16" s="32">
        <v>2.8</v>
      </c>
      <c r="O16" s="32">
        <v>7.399</v>
      </c>
      <c r="P16" s="32">
        <v>45.7</v>
      </c>
      <c r="Q16" s="32">
        <v>68.3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>
        <v>0.41249999999999998</v>
      </c>
      <c r="C17" s="17" t="s">
        <v>95</v>
      </c>
      <c r="D17" s="17">
        <v>47</v>
      </c>
      <c r="E17" s="17">
        <v>287</v>
      </c>
      <c r="F17" s="17"/>
      <c r="G17" s="21">
        <v>2.08</v>
      </c>
      <c r="H17" s="21">
        <v>4.5</v>
      </c>
      <c r="I17" s="21">
        <v>13.7</v>
      </c>
      <c r="J17" s="21">
        <v>175</v>
      </c>
      <c r="K17" s="21">
        <v>2.2999999999999998</v>
      </c>
      <c r="L17" s="21"/>
      <c r="M17" s="37">
        <f t="shared" si="0"/>
        <v>0</v>
      </c>
      <c r="N17" s="32">
        <v>2.5</v>
      </c>
      <c r="O17" s="32">
        <v>7.4169999999999998</v>
      </c>
      <c r="P17" s="32">
        <v>42.4</v>
      </c>
      <c r="Q17" s="32">
        <v>76</v>
      </c>
      <c r="R17" s="21">
        <v>50</v>
      </c>
      <c r="S17" s="21">
        <v>28</v>
      </c>
      <c r="T17" s="21">
        <v>118</v>
      </c>
      <c r="U17" s="21">
        <v>0.3</v>
      </c>
      <c r="V17" s="21">
        <v>14.5</v>
      </c>
      <c r="W17" s="21">
        <v>111</v>
      </c>
      <c r="X17" s="21">
        <v>87.04</v>
      </c>
      <c r="Y17" s="21">
        <v>263.69</v>
      </c>
      <c r="Z17" s="21">
        <v>4</v>
      </c>
      <c r="AA17" s="21"/>
      <c r="AB17" s="21"/>
      <c r="AC17" s="21"/>
      <c r="AD17" s="21"/>
      <c r="AE17" s="21">
        <v>121.3</v>
      </c>
      <c r="AF17" s="34">
        <v>35.9</v>
      </c>
      <c r="AG17" s="34">
        <v>53.8</v>
      </c>
      <c r="AH17" s="34">
        <v>1.1000000000000001</v>
      </c>
    </row>
    <row r="18" spans="1:34">
      <c r="A18" s="36" t="s">
        <v>98</v>
      </c>
      <c r="B18" s="30">
        <v>0.45416666666666666</v>
      </c>
      <c r="C18" s="17" t="s">
        <v>95</v>
      </c>
      <c r="D18" s="17">
        <v>45</v>
      </c>
      <c r="E18" s="17">
        <v>285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3.2</v>
      </c>
      <c r="O18" s="32">
        <v>7.4649999999999999</v>
      </c>
      <c r="P18" s="32">
        <v>37.200000000000003</v>
      </c>
      <c r="Q18" s="32">
        <v>78.7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0.49583333333333335</v>
      </c>
      <c r="C19" s="17" t="s">
        <v>95</v>
      </c>
      <c r="D19" s="17">
        <v>54</v>
      </c>
      <c r="E19" s="17">
        <v>172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3.8</v>
      </c>
      <c r="O19" s="32">
        <v>7.5110000000000001</v>
      </c>
      <c r="P19" s="32">
        <v>27.5</v>
      </c>
      <c r="Q19" s="32">
        <v>105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0.53749999999999998</v>
      </c>
      <c r="C20" s="17" t="s">
        <v>95</v>
      </c>
      <c r="D20" s="17">
        <v>57</v>
      </c>
      <c r="E20" s="17">
        <v>169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4.3</v>
      </c>
      <c r="O20" s="32">
        <v>7.4489999999999998</v>
      </c>
      <c r="P20" s="32">
        <v>23.4</v>
      </c>
      <c r="Q20" s="32">
        <v>108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0.57916666666666672</v>
      </c>
      <c r="C21" s="17" t="s">
        <v>95</v>
      </c>
      <c r="D21" s="17">
        <v>55</v>
      </c>
      <c r="E21" s="17">
        <v>173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4.0999999999999996</v>
      </c>
      <c r="O21" s="32">
        <v>7.49</v>
      </c>
      <c r="P21" s="32">
        <v>22.8</v>
      </c>
      <c r="Q21" s="32">
        <v>102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>
        <v>0.58611111111111114</v>
      </c>
      <c r="C22" s="17" t="s">
        <v>95</v>
      </c>
      <c r="D22" s="17">
        <v>62</v>
      </c>
      <c r="E22" s="17">
        <v>170</v>
      </c>
      <c r="F22" s="17"/>
      <c r="G22" s="21">
        <v>1.83</v>
      </c>
      <c r="H22" s="21">
        <v>3.9</v>
      </c>
      <c r="I22" s="21">
        <v>12</v>
      </c>
      <c r="J22" s="21">
        <v>183</v>
      </c>
      <c r="K22" s="21">
        <v>0.8</v>
      </c>
      <c r="L22" s="21"/>
      <c r="M22" s="37">
        <f t="shared" si="0"/>
        <v>0</v>
      </c>
      <c r="N22" s="32">
        <v>4.4000000000000004</v>
      </c>
      <c r="O22" s="32">
        <v>7.4950000000000001</v>
      </c>
      <c r="P22" s="32">
        <v>23.1</v>
      </c>
      <c r="Q22" s="32">
        <v>99.2</v>
      </c>
      <c r="R22" s="21">
        <v>165</v>
      </c>
      <c r="S22" s="21">
        <v>61</v>
      </c>
      <c r="T22" s="21">
        <v>358</v>
      </c>
      <c r="U22" s="21">
        <v>0.7</v>
      </c>
      <c r="V22" s="21">
        <v>16.3</v>
      </c>
      <c r="W22" s="21">
        <v>178</v>
      </c>
      <c r="X22" s="21">
        <v>108.08</v>
      </c>
      <c r="Y22" s="21">
        <v>125.45</v>
      </c>
      <c r="Z22" s="21">
        <v>5</v>
      </c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103</v>
      </c>
      <c r="B23" s="30">
        <v>0.40625</v>
      </c>
      <c r="C23" s="17" t="s">
        <v>95</v>
      </c>
      <c r="D23" s="17">
        <v>47</v>
      </c>
      <c r="E23" s="17">
        <v>268</v>
      </c>
      <c r="F23" s="17"/>
      <c r="G23" s="21">
        <v>2.1800000000000002</v>
      </c>
      <c r="H23" s="21">
        <v>4.7</v>
      </c>
      <c r="I23" s="21">
        <v>14.2</v>
      </c>
      <c r="J23" s="21">
        <v>300</v>
      </c>
      <c r="K23" s="21">
        <v>5.3</v>
      </c>
      <c r="L23" s="21"/>
      <c r="M23" s="37">
        <f t="shared" si="0"/>
        <v>0</v>
      </c>
      <c r="N23" s="32">
        <v>1.8</v>
      </c>
      <c r="O23" s="32">
        <v>7.5090000000000003</v>
      </c>
      <c r="P23" s="32">
        <v>34.799999999999997</v>
      </c>
      <c r="Q23" s="32">
        <v>83.6</v>
      </c>
      <c r="R23" s="21">
        <v>650</v>
      </c>
      <c r="S23" s="21">
        <v>381</v>
      </c>
      <c r="T23" s="21">
        <v>486</v>
      </c>
      <c r="U23" s="21">
        <v>0.6</v>
      </c>
      <c r="V23" s="21">
        <v>19.12</v>
      </c>
      <c r="W23" s="21">
        <v>152</v>
      </c>
      <c r="X23" s="21">
        <v>150.49</v>
      </c>
      <c r="Y23" s="21">
        <v>136.28</v>
      </c>
      <c r="Z23" s="21">
        <v>9</v>
      </c>
      <c r="AA23" s="12">
        <v>12.7</v>
      </c>
      <c r="AB23" s="12">
        <v>3.8</v>
      </c>
      <c r="AC23" s="12">
        <v>60.5</v>
      </c>
      <c r="AD23" s="12">
        <v>75</v>
      </c>
      <c r="AE23" s="12">
        <v>72.8</v>
      </c>
      <c r="AF23" s="12">
        <v>13.3</v>
      </c>
      <c r="AG23" s="34">
        <v>12.9</v>
      </c>
      <c r="AH23" s="34">
        <v>1.36</v>
      </c>
    </row>
    <row r="24" spans="1:34">
      <c r="A24" s="19" t="s">
        <v>104</v>
      </c>
      <c r="B24" s="30">
        <v>0.41249999999999998</v>
      </c>
      <c r="C24" s="17" t="s">
        <v>95</v>
      </c>
      <c r="D24" s="17">
        <v>55</v>
      </c>
      <c r="E24" s="17">
        <v>278</v>
      </c>
      <c r="F24" s="17"/>
      <c r="G24" s="21">
        <v>1.99</v>
      </c>
      <c r="H24" s="21">
        <v>4.4000000000000004</v>
      </c>
      <c r="I24" s="21">
        <v>13</v>
      </c>
      <c r="J24" s="21">
        <v>91</v>
      </c>
      <c r="K24" s="21">
        <v>4.2</v>
      </c>
      <c r="L24" s="21"/>
      <c r="M24" s="37">
        <f t="shared" si="0"/>
        <v>0</v>
      </c>
      <c r="N24" s="41">
        <v>2.4</v>
      </c>
      <c r="O24" s="32">
        <v>7.5069999999999997</v>
      </c>
      <c r="P24" s="32">
        <v>31.1</v>
      </c>
      <c r="Q24" s="32">
        <v>84.9</v>
      </c>
      <c r="R24" s="21">
        <v>129</v>
      </c>
      <c r="S24" s="21">
        <v>235</v>
      </c>
      <c r="T24" s="21">
        <v>246</v>
      </c>
      <c r="U24" s="21">
        <v>0.3</v>
      </c>
      <c r="V24" s="21">
        <v>21.02</v>
      </c>
      <c r="W24" s="21">
        <v>308</v>
      </c>
      <c r="X24" s="21">
        <v>210.46</v>
      </c>
      <c r="Y24" s="21">
        <v>141.4</v>
      </c>
      <c r="Z24" s="21">
        <v>12</v>
      </c>
      <c r="AA24" s="12"/>
      <c r="AB24" s="12"/>
      <c r="AC24" s="12"/>
      <c r="AD24" s="12"/>
      <c r="AE24" s="12">
        <v>137.30000000000001</v>
      </c>
      <c r="AF24" s="12">
        <v>10.9</v>
      </c>
      <c r="AG24" s="34">
        <v>15.7</v>
      </c>
      <c r="AH24" s="34">
        <v>2.34</v>
      </c>
    </row>
    <row r="25" spans="1:34">
      <c r="A25" s="19" t="s">
        <v>105</v>
      </c>
      <c r="B25" s="30">
        <v>0.41249999999999998</v>
      </c>
      <c r="C25" s="17" t="s">
        <v>95</v>
      </c>
      <c r="D25" s="17">
        <v>55</v>
      </c>
      <c r="E25" s="17">
        <v>223</v>
      </c>
      <c r="F25" s="17"/>
      <c r="G25" s="21">
        <v>2.31</v>
      </c>
      <c r="H25" s="21">
        <v>4.9000000000000004</v>
      </c>
      <c r="I25" s="21">
        <v>15.4</v>
      </c>
      <c r="J25" s="21">
        <v>428</v>
      </c>
      <c r="K25" s="21">
        <v>5.7</v>
      </c>
      <c r="L25" s="21"/>
      <c r="M25" s="37">
        <f t="shared" si="0"/>
        <v>0</v>
      </c>
      <c r="N25" s="32">
        <v>0.9</v>
      </c>
      <c r="O25" s="32">
        <v>7.5110000000000001</v>
      </c>
      <c r="P25" s="32">
        <v>35</v>
      </c>
      <c r="Q25" s="32">
        <v>87</v>
      </c>
      <c r="R25" s="21">
        <v>42</v>
      </c>
      <c r="S25" s="21">
        <v>157</v>
      </c>
      <c r="T25" s="21">
        <v>55</v>
      </c>
      <c r="U25" s="21">
        <v>0.3</v>
      </c>
      <c r="V25" s="21">
        <v>19.440000000000001</v>
      </c>
      <c r="W25" s="21">
        <v>204</v>
      </c>
      <c r="X25" s="21">
        <v>177.23</v>
      </c>
      <c r="Y25" s="21">
        <v>126.59</v>
      </c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4037274A-C8B1-4368-9F1E-6C4DD77953EE}">
      <formula1>"incomplete,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8B09-A06B-4955-A242-25C9F760F32C}">
  <dimension ref="A1:AZ28"/>
  <sheetViews>
    <sheetView topLeftCell="E3" workbookViewId="0">
      <selection activeCell="K18" sqref="K18"/>
    </sheetView>
  </sheetViews>
  <sheetFormatPr defaultColWidth="8.77734375" defaultRowHeight="14.4"/>
  <cols>
    <col min="1" max="1" width="25.44140625" customWidth="1"/>
    <col min="2" max="2" width="16" customWidth="1"/>
    <col min="3" max="3" width="14.44140625" customWidth="1"/>
    <col min="4" max="4" width="15.44140625" customWidth="1"/>
    <col min="5" max="5" width="27" customWidth="1"/>
    <col min="6" max="6" width="20.77734375" customWidth="1"/>
    <col min="7" max="7" width="13" customWidth="1"/>
    <col min="8" max="8" width="16.44140625" customWidth="1"/>
    <col min="9" max="9" width="14.109375" customWidth="1"/>
    <col min="10" max="10" width="20.33203125" customWidth="1"/>
    <col min="11" max="11" width="13.44140625" customWidth="1"/>
    <col min="12" max="12" width="14.109375" customWidth="1"/>
    <col min="13" max="13" width="29.109375" customWidth="1"/>
  </cols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5.8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5.8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25.8">
      <c r="A4" s="4" t="s">
        <v>2</v>
      </c>
      <c r="B4" s="48" t="s">
        <v>113</v>
      </c>
      <c r="C4" s="49"/>
      <c r="D4" s="5"/>
      <c r="E4" s="4" t="s">
        <v>4</v>
      </c>
      <c r="F4" s="50"/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5.8">
      <c r="A5" s="4" t="s">
        <v>109</v>
      </c>
      <c r="B5" s="48">
        <v>1.7</v>
      </c>
      <c r="C5" s="49"/>
      <c r="D5" s="5"/>
      <c r="E5" s="4" t="s">
        <v>7</v>
      </c>
      <c r="F5" s="52"/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5.8">
      <c r="A6" s="4" t="s">
        <v>8</v>
      </c>
      <c r="B6" s="55">
        <v>44951</v>
      </c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47.6</v>
      </c>
      <c r="C7" s="39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5.8">
      <c r="A8" s="4" t="s">
        <v>10</v>
      </c>
      <c r="B8" s="8">
        <v>47.6</v>
      </c>
      <c r="C8" s="40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>
        <v>7800</v>
      </c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.6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0.28472222222222221</v>
      </c>
      <c r="C15" s="17" t="s">
        <v>95</v>
      </c>
      <c r="D15" s="17">
        <v>81</v>
      </c>
      <c r="E15" s="17">
        <v>285</v>
      </c>
      <c r="F15" s="17"/>
      <c r="G15" s="31">
        <v>5.82</v>
      </c>
      <c r="H15" s="31">
        <v>12</v>
      </c>
      <c r="I15" s="21">
        <v>38.6</v>
      </c>
      <c r="J15" s="21">
        <v>130</v>
      </c>
      <c r="K15" s="21">
        <v>10.1</v>
      </c>
      <c r="L15" s="21"/>
      <c r="M15" s="37">
        <f>(L15/(((H15*10)/64500)*10^6))*100</f>
        <v>0</v>
      </c>
      <c r="N15" s="32">
        <v>1.9</v>
      </c>
      <c r="O15" s="32">
        <v>7.4770000000000003</v>
      </c>
      <c r="P15" s="32">
        <v>39.5</v>
      </c>
      <c r="Q15" s="32">
        <v>73.5</v>
      </c>
      <c r="R15" s="21">
        <v>67</v>
      </c>
      <c r="S15" s="33">
        <v>76</v>
      </c>
      <c r="T15" s="21">
        <v>170</v>
      </c>
      <c r="U15" s="21">
        <v>0.6</v>
      </c>
      <c r="V15" s="21">
        <v>11.79</v>
      </c>
      <c r="W15" s="21">
        <v>261</v>
      </c>
      <c r="X15" s="21">
        <v>182.94</v>
      </c>
      <c r="Y15" s="21">
        <v>153.47999999999999</v>
      </c>
      <c r="Z15" s="21">
        <v>10</v>
      </c>
      <c r="AA15" s="21"/>
      <c r="AB15" s="21"/>
      <c r="AC15" s="21"/>
      <c r="AD15" s="21"/>
      <c r="AE15" s="21">
        <v>140.30000000000001</v>
      </c>
      <c r="AF15" s="34">
        <v>18.399999999999999</v>
      </c>
      <c r="AG15" s="34">
        <v>20.5</v>
      </c>
      <c r="AH15" s="34">
        <v>2.02</v>
      </c>
    </row>
    <row r="16" spans="1:52">
      <c r="A16" s="19" t="s">
        <v>96</v>
      </c>
      <c r="B16" s="30">
        <v>0.39374999999999999</v>
      </c>
      <c r="C16" s="17" t="s">
        <v>95</v>
      </c>
      <c r="D16" s="17">
        <v>72</v>
      </c>
      <c r="E16" s="17">
        <v>187</v>
      </c>
      <c r="F16" s="17"/>
      <c r="G16" s="21">
        <v>3.63</v>
      </c>
      <c r="H16" s="21">
        <v>7.8</v>
      </c>
      <c r="I16" s="21">
        <v>23.8</v>
      </c>
      <c r="J16" s="21">
        <v>27</v>
      </c>
      <c r="K16" s="21">
        <v>3.3</v>
      </c>
      <c r="L16" s="21"/>
      <c r="M16" s="37">
        <f t="shared" ref="M16:M26" si="0">(L16/(((H16*10)/64500)*10^6))*100</f>
        <v>0</v>
      </c>
      <c r="N16" s="32">
        <v>14.5</v>
      </c>
      <c r="O16" s="32">
        <v>7.4420000000000002</v>
      </c>
      <c r="P16" s="32">
        <v>31.6</v>
      </c>
      <c r="Q16" s="32">
        <v>89.3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>
        <v>0.40069444444444446</v>
      </c>
      <c r="C17" s="17" t="s">
        <v>95</v>
      </c>
      <c r="D17" s="17">
        <v>66</v>
      </c>
      <c r="E17" s="17">
        <v>180</v>
      </c>
      <c r="F17" s="17"/>
      <c r="G17" s="21">
        <v>2.25</v>
      </c>
      <c r="H17" s="21">
        <v>4.9000000000000004</v>
      </c>
      <c r="I17" s="21">
        <v>14.7</v>
      </c>
      <c r="J17" s="21">
        <v>117</v>
      </c>
      <c r="K17" s="21">
        <v>1.8</v>
      </c>
      <c r="L17" s="21"/>
      <c r="M17" s="37">
        <f t="shared" si="0"/>
        <v>0</v>
      </c>
      <c r="N17" s="32">
        <v>11.8</v>
      </c>
      <c r="O17" s="32">
        <v>7.39</v>
      </c>
      <c r="P17" s="32">
        <v>33.200000000000003</v>
      </c>
      <c r="Q17" s="32">
        <v>90.1</v>
      </c>
      <c r="R17" s="21">
        <v>82</v>
      </c>
      <c r="S17" s="21">
        <v>57</v>
      </c>
      <c r="T17" s="21">
        <v>207</v>
      </c>
      <c r="U17" s="21">
        <v>0.7</v>
      </c>
      <c r="V17" s="21">
        <v>17.93</v>
      </c>
      <c r="W17" s="21">
        <v>143</v>
      </c>
      <c r="X17" s="21">
        <v>189.59</v>
      </c>
      <c r="Y17" s="21">
        <v>323.70999999999998</v>
      </c>
      <c r="Z17" s="21">
        <v>6</v>
      </c>
      <c r="AA17" s="21"/>
      <c r="AB17" s="21"/>
      <c r="AC17" s="21"/>
      <c r="AD17" s="21"/>
      <c r="AE17" s="21">
        <v>125.8</v>
      </c>
      <c r="AF17" s="34">
        <v>22.9</v>
      </c>
      <c r="AG17" s="34">
        <v>13.7</v>
      </c>
      <c r="AH17" s="34">
        <v>0.71</v>
      </c>
    </row>
    <row r="18" spans="1:34">
      <c r="A18" s="36" t="s">
        <v>98</v>
      </c>
      <c r="B18" s="30">
        <v>0.44236111111111109</v>
      </c>
      <c r="C18" s="17" t="s">
        <v>95</v>
      </c>
      <c r="D18" s="17">
        <v>35</v>
      </c>
      <c r="E18" s="17">
        <v>273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7.6</v>
      </c>
      <c r="O18" s="32">
        <v>7.4340000000000002</v>
      </c>
      <c r="P18" s="32">
        <v>30.7</v>
      </c>
      <c r="Q18" s="32">
        <v>95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0.48402777777777778</v>
      </c>
      <c r="C19" s="17" t="s">
        <v>95</v>
      </c>
      <c r="D19" s="17">
        <v>67</v>
      </c>
      <c r="E19" s="17">
        <v>298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6.5</v>
      </c>
      <c r="O19" s="32">
        <v>7.4930000000000003</v>
      </c>
      <c r="P19" s="32">
        <v>27.5</v>
      </c>
      <c r="Q19" s="32">
        <v>29.7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0.52569444444444446</v>
      </c>
      <c r="C20" s="17" t="s">
        <v>95</v>
      </c>
      <c r="D20" s="17">
        <v>73</v>
      </c>
      <c r="E20" s="17">
        <v>174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8.4</v>
      </c>
      <c r="O20" s="32">
        <v>7.4859999999999998</v>
      </c>
      <c r="P20" s="32">
        <v>25.2</v>
      </c>
      <c r="Q20" s="32">
        <v>30.2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0.56736111111111109</v>
      </c>
      <c r="C21" s="17" t="s">
        <v>95</v>
      </c>
      <c r="D21" s="17">
        <v>70</v>
      </c>
      <c r="E21" s="17">
        <v>175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7.4</v>
      </c>
      <c r="O21" s="32">
        <v>7.5250000000000004</v>
      </c>
      <c r="P21" s="32">
        <v>23.1</v>
      </c>
      <c r="Q21" s="32">
        <v>35.5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>
        <v>0.57430555555555551</v>
      </c>
      <c r="C22" s="17" t="s">
        <v>95</v>
      </c>
      <c r="D22" s="17">
        <v>66</v>
      </c>
      <c r="E22" s="17">
        <v>181</v>
      </c>
      <c r="F22" s="17"/>
      <c r="G22" s="21">
        <v>1.72</v>
      </c>
      <c r="H22" s="21">
        <v>3.8</v>
      </c>
      <c r="I22" s="21">
        <v>11.1</v>
      </c>
      <c r="J22" s="21">
        <v>85</v>
      </c>
      <c r="K22" s="21">
        <v>1</v>
      </c>
      <c r="L22" s="21"/>
      <c r="M22" s="37">
        <f t="shared" si="0"/>
        <v>0</v>
      </c>
      <c r="N22" s="32">
        <v>7.2</v>
      </c>
      <c r="O22" s="32">
        <v>7.4969999999999999</v>
      </c>
      <c r="P22" s="32">
        <v>26.2</v>
      </c>
      <c r="Q22" s="32">
        <v>31.1</v>
      </c>
      <c r="R22" s="21">
        <v>110</v>
      </c>
      <c r="S22" s="21">
        <v>57</v>
      </c>
      <c r="T22" s="21">
        <v>294</v>
      </c>
      <c r="U22" s="21">
        <v>0.9</v>
      </c>
      <c r="V22" s="21">
        <v>14.88</v>
      </c>
      <c r="W22" s="21">
        <v>158</v>
      </c>
      <c r="X22" s="21">
        <v>221.71</v>
      </c>
      <c r="Y22" s="21">
        <v>133.26</v>
      </c>
      <c r="Z22" s="21">
        <v>2</v>
      </c>
      <c r="AA22" s="12">
        <v>6.8</v>
      </c>
      <c r="AB22" s="12">
        <v>2.6</v>
      </c>
      <c r="AC22" s="12">
        <v>62</v>
      </c>
      <c r="AD22" s="12">
        <v>43.6</v>
      </c>
      <c r="AE22" s="12">
        <v>140.1</v>
      </c>
      <c r="AF22" s="12">
        <v>17.899999999999999</v>
      </c>
      <c r="AG22" s="34">
        <v>17.600000000000001</v>
      </c>
      <c r="AH22" s="34">
        <v>1.22</v>
      </c>
    </row>
    <row r="23" spans="1:34">
      <c r="A23" s="19" t="s">
        <v>103</v>
      </c>
      <c r="B23" s="30">
        <v>0.40069444444444446</v>
      </c>
      <c r="C23" s="17" t="s">
        <v>95</v>
      </c>
      <c r="D23" s="17">
        <v>58</v>
      </c>
      <c r="E23" s="17">
        <v>275</v>
      </c>
      <c r="F23" s="17"/>
      <c r="G23" s="21">
        <v>1.81</v>
      </c>
      <c r="H23" s="21">
        <v>4.4000000000000004</v>
      </c>
      <c r="I23" s="21">
        <v>12</v>
      </c>
      <c r="J23" s="21">
        <v>29</v>
      </c>
      <c r="K23" s="21">
        <v>7.3</v>
      </c>
      <c r="L23" s="21"/>
      <c r="M23" s="37">
        <f t="shared" si="0"/>
        <v>0</v>
      </c>
      <c r="N23" s="32">
        <v>2.1</v>
      </c>
      <c r="O23" s="32">
        <v>7.423</v>
      </c>
      <c r="P23" s="32">
        <v>35.799999999999997</v>
      </c>
      <c r="Q23" s="32">
        <v>28.6</v>
      </c>
      <c r="R23" s="21">
        <v>366</v>
      </c>
      <c r="S23" s="21">
        <v>211</v>
      </c>
      <c r="T23" s="21">
        <v>522</v>
      </c>
      <c r="U23" s="21">
        <v>0.5</v>
      </c>
      <c r="V23" s="21">
        <v>32</v>
      </c>
      <c r="W23" s="21">
        <v>195</v>
      </c>
      <c r="X23" s="21">
        <v>501</v>
      </c>
      <c r="Y23" s="21">
        <v>144.13</v>
      </c>
      <c r="Z23" s="21">
        <v>13</v>
      </c>
      <c r="AA23" s="12"/>
      <c r="AB23" s="12"/>
      <c r="AC23" s="12"/>
      <c r="AD23" s="12"/>
      <c r="AE23" s="12">
        <v>139.6</v>
      </c>
      <c r="AF23" s="12">
        <v>16.3</v>
      </c>
      <c r="AG23" s="34">
        <v>22</v>
      </c>
      <c r="AH23" s="34">
        <v>2.94</v>
      </c>
    </row>
    <row r="24" spans="1:34">
      <c r="A24" s="19" t="s">
        <v>104</v>
      </c>
      <c r="B24" s="30">
        <v>0.40069444444444446</v>
      </c>
      <c r="C24" s="17" t="s">
        <v>95</v>
      </c>
      <c r="D24" s="17">
        <v>54</v>
      </c>
      <c r="E24" s="17">
        <v>286</v>
      </c>
      <c r="F24" s="17"/>
      <c r="G24" s="21">
        <v>2.2000000000000002</v>
      </c>
      <c r="H24" s="21">
        <v>4.5</v>
      </c>
      <c r="I24" s="21">
        <v>13.7</v>
      </c>
      <c r="J24" s="21">
        <v>0</v>
      </c>
      <c r="K24" s="21">
        <v>0.1</v>
      </c>
      <c r="L24" s="21"/>
      <c r="M24" s="37">
        <f t="shared" si="0"/>
        <v>0</v>
      </c>
      <c r="N24" s="32">
        <v>2.6</v>
      </c>
      <c r="O24" s="32">
        <v>7.609</v>
      </c>
      <c r="P24" s="32">
        <v>25.9</v>
      </c>
      <c r="Q24" s="32">
        <v>172</v>
      </c>
      <c r="R24" s="32">
        <v>269</v>
      </c>
      <c r="S24" s="21">
        <v>256</v>
      </c>
      <c r="T24" s="21">
        <v>450</v>
      </c>
      <c r="U24" s="21">
        <v>0.5</v>
      </c>
      <c r="V24" s="21">
        <v>18.09</v>
      </c>
      <c r="W24" s="21">
        <v>345</v>
      </c>
      <c r="X24" s="21">
        <v>609</v>
      </c>
      <c r="Y24" s="21">
        <v>133.09</v>
      </c>
      <c r="Z24" s="21">
        <v>11</v>
      </c>
      <c r="AA24" s="12"/>
      <c r="AB24" s="12"/>
      <c r="AC24" s="12"/>
      <c r="AD24" s="12"/>
      <c r="AE24" s="12">
        <v>9.5</v>
      </c>
      <c r="AF24" s="12">
        <v>56.5</v>
      </c>
      <c r="AG24" s="34"/>
      <c r="AH24" s="34">
        <v>0.78</v>
      </c>
    </row>
    <row r="25" spans="1:34">
      <c r="A25" s="19" t="s">
        <v>105</v>
      </c>
      <c r="B25" s="30"/>
      <c r="C25" s="17" t="s">
        <v>95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AFAD7B1-F362-41E3-BCC0-B513A52E50B1}">
      <formula1>"incomplete,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3DE8-9C48-4B69-9FFB-7E8378CA03FC}">
  <dimension ref="A1:AZ28"/>
  <sheetViews>
    <sheetView topLeftCell="A3" workbookViewId="0">
      <selection activeCell="L17" sqref="L17"/>
    </sheetView>
  </sheetViews>
  <sheetFormatPr defaultColWidth="8.77734375" defaultRowHeight="14.4"/>
  <cols>
    <col min="1" max="1" width="24.44140625" customWidth="1"/>
    <col min="2" max="2" width="15.6640625" customWidth="1"/>
    <col min="3" max="3" width="18.6640625" customWidth="1"/>
    <col min="4" max="4" width="16" customWidth="1"/>
    <col min="5" max="5" width="19.44140625" customWidth="1"/>
    <col min="6" max="6" width="23" customWidth="1"/>
    <col min="13" max="13" width="25.44140625" customWidth="1"/>
  </cols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5.8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5.8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25.8">
      <c r="A4" s="4" t="s">
        <v>2</v>
      </c>
      <c r="B4" s="48" t="s">
        <v>114</v>
      </c>
      <c r="C4" s="49"/>
      <c r="D4" s="5"/>
      <c r="E4" s="4" t="s">
        <v>4</v>
      </c>
      <c r="F4" s="50" t="s">
        <v>5</v>
      </c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5.8">
      <c r="A5" s="4" t="s">
        <v>109</v>
      </c>
      <c r="B5" s="48">
        <v>1.5</v>
      </c>
      <c r="C5" s="49"/>
      <c r="D5" s="5"/>
      <c r="E5" s="4" t="s">
        <v>7</v>
      </c>
      <c r="F5" s="52"/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5.8">
      <c r="A6" s="4" t="s">
        <v>8</v>
      </c>
      <c r="B6" s="55">
        <v>44951</v>
      </c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>
        <v>42</v>
      </c>
      <c r="C7" s="39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5.8">
      <c r="A8" s="4" t="s">
        <v>10</v>
      </c>
      <c r="B8" s="8">
        <v>42</v>
      </c>
      <c r="C8" s="40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>
        <v>7807</v>
      </c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.6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>
        <v>0.28472222222222221</v>
      </c>
      <c r="C15" s="17" t="s">
        <v>95</v>
      </c>
      <c r="D15" s="17">
        <v>83</v>
      </c>
      <c r="E15" s="17">
        <v>240</v>
      </c>
      <c r="F15" s="17"/>
      <c r="G15" s="31">
        <v>5.88</v>
      </c>
      <c r="H15" s="31">
        <v>11.8</v>
      </c>
      <c r="I15" s="21">
        <v>36.799999999999997</v>
      </c>
      <c r="J15" s="21">
        <v>94</v>
      </c>
      <c r="K15" s="21">
        <v>11.5</v>
      </c>
      <c r="L15" s="21"/>
      <c r="M15" s="37">
        <f>(L15/(((H15*10)/64500)*10^6))*100</f>
        <v>0</v>
      </c>
      <c r="N15" s="32">
        <v>3.1</v>
      </c>
      <c r="O15" s="32">
        <v>7.5650000000000004</v>
      </c>
      <c r="P15" s="32">
        <v>42.4</v>
      </c>
      <c r="Q15" s="32">
        <v>77.5</v>
      </c>
      <c r="R15" s="21">
        <v>23</v>
      </c>
      <c r="S15" s="33">
        <v>36</v>
      </c>
      <c r="T15" s="21">
        <v>74</v>
      </c>
      <c r="U15" s="21">
        <v>0.7</v>
      </c>
      <c r="V15" s="21">
        <v>10.210000000000001</v>
      </c>
      <c r="W15" s="21">
        <v>195</v>
      </c>
      <c r="X15" s="21">
        <v>42.74</v>
      </c>
      <c r="Y15" s="21">
        <v>99.3</v>
      </c>
      <c r="Z15" s="21">
        <v>9</v>
      </c>
      <c r="AA15" s="21"/>
      <c r="AB15" s="21"/>
      <c r="AC15" s="21"/>
      <c r="AD15" s="21"/>
      <c r="AE15" s="21">
        <v>12.6</v>
      </c>
      <c r="AF15" s="34">
        <v>12.2</v>
      </c>
      <c r="AG15" s="34">
        <v>24.3</v>
      </c>
      <c r="AH15" s="34">
        <v>1.82</v>
      </c>
    </row>
    <row r="16" spans="1:52">
      <c r="A16" s="19" t="s">
        <v>96</v>
      </c>
      <c r="B16" s="30">
        <v>0.38750000000000001</v>
      </c>
      <c r="C16" s="17" t="s">
        <v>95</v>
      </c>
      <c r="D16" s="17">
        <v>36</v>
      </c>
      <c r="E16" s="17">
        <v>244</v>
      </c>
      <c r="F16" s="17"/>
      <c r="G16" s="21">
        <v>3.27</v>
      </c>
      <c r="H16" s="21">
        <v>6.6</v>
      </c>
      <c r="I16" s="21">
        <v>20.399999999999999</v>
      </c>
      <c r="J16" s="21">
        <v>193</v>
      </c>
      <c r="K16" s="21">
        <v>4.4000000000000004</v>
      </c>
      <c r="L16" s="21"/>
      <c r="M16" s="37">
        <f t="shared" ref="M16:M26" si="0">(L16/(((H16*10)/64500)*10^6))*100</f>
        <v>0</v>
      </c>
      <c r="N16" s="32">
        <v>7.8</v>
      </c>
      <c r="O16" s="32">
        <v>7.4260000000000002</v>
      </c>
      <c r="P16" s="32">
        <v>41.7</v>
      </c>
      <c r="Q16" s="32">
        <v>88.3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>
        <v>0.39444444444444443</v>
      </c>
      <c r="C17" s="17" t="s">
        <v>95</v>
      </c>
      <c r="D17" s="17">
        <v>45</v>
      </c>
      <c r="E17" s="17">
        <v>255</v>
      </c>
      <c r="F17" s="17"/>
      <c r="G17" s="21">
        <v>2.38</v>
      </c>
      <c r="H17" s="21">
        <v>4.8</v>
      </c>
      <c r="I17" s="21">
        <v>14.8</v>
      </c>
      <c r="J17" s="21">
        <v>125</v>
      </c>
      <c r="K17" s="21">
        <v>4.5</v>
      </c>
      <c r="L17" s="21"/>
      <c r="M17" s="37">
        <f t="shared" si="0"/>
        <v>0</v>
      </c>
      <c r="N17" s="32">
        <v>7.9</v>
      </c>
      <c r="O17" s="32">
        <v>7.3570000000000002</v>
      </c>
      <c r="P17" s="32">
        <v>43.8</v>
      </c>
      <c r="Q17" s="32">
        <v>93.9</v>
      </c>
      <c r="R17" s="21">
        <v>36</v>
      </c>
      <c r="S17" s="21">
        <v>26</v>
      </c>
      <c r="T17" s="21">
        <v>51</v>
      </c>
      <c r="U17" s="21">
        <v>0.8</v>
      </c>
      <c r="V17" s="21">
        <v>15.97</v>
      </c>
      <c r="W17" s="21">
        <v>88</v>
      </c>
      <c r="X17" s="21">
        <v>78.13</v>
      </c>
      <c r="Y17" s="21">
        <v>306.37</v>
      </c>
      <c r="Z17" s="21">
        <v>6</v>
      </c>
      <c r="AA17" s="21">
        <v>7.5</v>
      </c>
      <c r="AB17" s="21">
        <v>2</v>
      </c>
      <c r="AC17" s="21">
        <v>64.5</v>
      </c>
      <c r="AD17" s="21">
        <v>51</v>
      </c>
      <c r="AE17" s="21">
        <v>140.4</v>
      </c>
      <c r="AF17" s="34">
        <v>16.8</v>
      </c>
      <c r="AG17" s="34">
        <v>15.1</v>
      </c>
      <c r="AH17" s="34">
        <v>0.75</v>
      </c>
    </row>
    <row r="18" spans="1:34">
      <c r="A18" s="36" t="s">
        <v>98</v>
      </c>
      <c r="B18" s="30">
        <v>0.43611111111111112</v>
      </c>
      <c r="C18" s="17" t="s">
        <v>95</v>
      </c>
      <c r="D18" s="17">
        <v>58</v>
      </c>
      <c r="E18" s="17">
        <v>275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6.2</v>
      </c>
      <c r="O18" s="32">
        <v>7.5119999999999996</v>
      </c>
      <c r="P18" s="32">
        <v>35</v>
      </c>
      <c r="Q18" s="32">
        <v>94.3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>
        <v>0.4777777777777778</v>
      </c>
      <c r="C19" s="17" t="s">
        <v>95</v>
      </c>
      <c r="D19" s="17">
        <v>67</v>
      </c>
      <c r="E19" s="17">
        <v>293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7.1</v>
      </c>
      <c r="O19" s="32">
        <v>7.5350000000000001</v>
      </c>
      <c r="P19" s="32">
        <v>27.9</v>
      </c>
      <c r="Q19" s="32">
        <v>95.5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>
        <v>0.51944444444444449</v>
      </c>
      <c r="C20" s="17" t="s">
        <v>95</v>
      </c>
      <c r="D20" s="17">
        <v>75</v>
      </c>
      <c r="E20" s="17">
        <v>298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13.5</v>
      </c>
      <c r="O20" s="32">
        <v>7.4749999999999996</v>
      </c>
      <c r="P20" s="32">
        <v>21.2</v>
      </c>
      <c r="Q20" s="32">
        <v>100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>
        <v>0.56111111111111112</v>
      </c>
      <c r="C21" s="17" t="s">
        <v>95</v>
      </c>
      <c r="D21" s="17">
        <v>66</v>
      </c>
      <c r="E21" s="17">
        <v>293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11.3</v>
      </c>
      <c r="O21" s="32">
        <v>7.5640000000000001</v>
      </c>
      <c r="P21" s="32">
        <v>21.4</v>
      </c>
      <c r="Q21" s="32">
        <v>102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>
        <v>0.56805555555555554</v>
      </c>
      <c r="C22" s="17" t="s">
        <v>95</v>
      </c>
      <c r="D22" s="17">
        <v>69</v>
      </c>
      <c r="E22" s="17">
        <v>195</v>
      </c>
      <c r="F22" s="17"/>
      <c r="G22" s="21">
        <v>1.85</v>
      </c>
      <c r="H22" s="21">
        <v>3.9</v>
      </c>
      <c r="I22" s="21">
        <v>11.3</v>
      </c>
      <c r="J22" s="21">
        <v>131</v>
      </c>
      <c r="K22" s="21">
        <v>0.6</v>
      </c>
      <c r="L22" s="21"/>
      <c r="M22" s="37">
        <f t="shared" si="0"/>
        <v>0</v>
      </c>
      <c r="N22" s="32">
        <v>11</v>
      </c>
      <c r="O22" s="32">
        <v>7.6719999999999997</v>
      </c>
      <c r="P22" s="32">
        <v>15.6</v>
      </c>
      <c r="Q22" s="32">
        <v>170</v>
      </c>
      <c r="R22" s="21">
        <v>45</v>
      </c>
      <c r="S22" s="21">
        <v>29</v>
      </c>
      <c r="T22" s="21">
        <v>71</v>
      </c>
      <c r="U22" s="21">
        <v>0.1</v>
      </c>
      <c r="V22" s="21">
        <v>13.37</v>
      </c>
      <c r="W22" s="21">
        <v>111</v>
      </c>
      <c r="X22" s="21">
        <v>104.27</v>
      </c>
      <c r="Y22" s="21">
        <v>136.41999999999999</v>
      </c>
      <c r="Z22" s="21">
        <v>2</v>
      </c>
      <c r="AA22" s="12">
        <v>19</v>
      </c>
      <c r="AB22" s="12">
        <v>2.6</v>
      </c>
      <c r="AC22" s="12">
        <v>60.8</v>
      </c>
      <c r="AD22" s="12">
        <v>68.599999999999994</v>
      </c>
      <c r="AE22" s="12">
        <v>8.9</v>
      </c>
      <c r="AF22" s="12">
        <v>16.3</v>
      </c>
      <c r="AG22" s="34">
        <v>20.5</v>
      </c>
      <c r="AH22" s="34">
        <v>0.82</v>
      </c>
    </row>
    <row r="23" spans="1:34">
      <c r="A23" s="19" t="s">
        <v>103</v>
      </c>
      <c r="B23" s="30">
        <v>0.39444444444444443</v>
      </c>
      <c r="C23" s="17" t="s">
        <v>95</v>
      </c>
      <c r="D23" s="17">
        <v>57</v>
      </c>
      <c r="E23" s="17">
        <v>270</v>
      </c>
      <c r="F23" s="17"/>
      <c r="G23" s="21">
        <v>1.81</v>
      </c>
      <c r="H23" s="21">
        <v>4.0999999999999996</v>
      </c>
      <c r="I23" s="21">
        <v>11.1</v>
      </c>
      <c r="J23" s="21">
        <v>25</v>
      </c>
      <c r="K23" s="21">
        <v>4.3</v>
      </c>
      <c r="L23" s="21"/>
      <c r="M23" s="37">
        <f t="shared" si="0"/>
        <v>0</v>
      </c>
      <c r="N23" s="32">
        <v>2.1</v>
      </c>
      <c r="O23" s="32">
        <v>7.4969999999999999</v>
      </c>
      <c r="P23" s="32">
        <v>35.299999999999997</v>
      </c>
      <c r="Q23" s="32">
        <v>83.6</v>
      </c>
      <c r="R23" s="21">
        <v>146</v>
      </c>
      <c r="S23" s="21">
        <v>91</v>
      </c>
      <c r="T23" s="21">
        <v>202</v>
      </c>
      <c r="U23" s="21">
        <v>0.3</v>
      </c>
      <c r="V23" s="21">
        <v>14.83</v>
      </c>
      <c r="W23" s="21">
        <v>256</v>
      </c>
      <c r="X23" s="21">
        <v>415.2</v>
      </c>
      <c r="Y23" s="21">
        <v>137.32</v>
      </c>
      <c r="Z23" s="21">
        <v>6</v>
      </c>
      <c r="AA23" s="12"/>
      <c r="AB23" s="12"/>
      <c r="AC23" s="12"/>
      <c r="AD23" s="12"/>
      <c r="AE23" s="12">
        <v>140.30000000000001</v>
      </c>
      <c r="AF23" s="12">
        <v>8.4</v>
      </c>
      <c r="AG23" s="34">
        <v>12.8</v>
      </c>
      <c r="AH23" s="34">
        <v>2.46</v>
      </c>
    </row>
    <row r="24" spans="1:34">
      <c r="A24" s="19" t="s">
        <v>104</v>
      </c>
      <c r="B24" s="30">
        <v>0.39444444444444443</v>
      </c>
      <c r="C24" s="17" t="s">
        <v>95</v>
      </c>
      <c r="D24" s="17">
        <v>101</v>
      </c>
      <c r="E24" s="17">
        <v>229</v>
      </c>
      <c r="F24" s="17"/>
      <c r="G24" s="21">
        <v>2.4</v>
      </c>
      <c r="H24" s="21">
        <v>5.0999999999999996</v>
      </c>
      <c r="I24" s="21">
        <v>15.9</v>
      </c>
      <c r="J24" s="21">
        <v>307</v>
      </c>
      <c r="K24" s="21">
        <v>9.1999999999999993</v>
      </c>
      <c r="L24" s="21"/>
      <c r="M24" s="37">
        <f t="shared" si="0"/>
        <v>0</v>
      </c>
      <c r="N24" s="32">
        <v>21</v>
      </c>
      <c r="O24" s="32">
        <v>7.173</v>
      </c>
      <c r="P24" s="32">
        <v>28.7</v>
      </c>
      <c r="Q24" s="32">
        <v>97.7</v>
      </c>
      <c r="R24" s="21">
        <v>38</v>
      </c>
      <c r="S24" s="21">
        <v>81</v>
      </c>
      <c r="T24" s="21">
        <v>16</v>
      </c>
      <c r="U24" s="21">
        <v>0.6</v>
      </c>
      <c r="V24" s="21">
        <v>9.6199999999999992</v>
      </c>
      <c r="W24" s="21">
        <v>298</v>
      </c>
      <c r="X24" s="21">
        <v>609</v>
      </c>
      <c r="Y24" s="21">
        <v>153.82</v>
      </c>
      <c r="Z24" s="21">
        <v>14</v>
      </c>
      <c r="AA24" s="12"/>
      <c r="AB24" s="12"/>
      <c r="AC24" s="12"/>
      <c r="AD24" s="12"/>
      <c r="AE24" s="12">
        <v>129.1</v>
      </c>
      <c r="AF24" s="12">
        <v>6.9</v>
      </c>
      <c r="AG24" s="34">
        <v>16</v>
      </c>
      <c r="AH24" s="34">
        <v>3.94</v>
      </c>
    </row>
    <row r="25" spans="1:34">
      <c r="A25" s="19" t="s">
        <v>105</v>
      </c>
      <c r="B25" s="30"/>
      <c r="C25" s="17" t="s">
        <v>95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F9DF4D4-CB7E-4535-83B6-9C5CE6BD6EDB}">
      <formula1>"incomplete,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F13E-7EE3-4451-AFE5-A94E8708E852}">
  <dimension ref="A1:AZ28"/>
  <sheetViews>
    <sheetView workbookViewId="0">
      <selection activeCell="D5" sqref="D5"/>
    </sheetView>
  </sheetViews>
  <sheetFormatPr defaultColWidth="8.77734375" defaultRowHeight="14.4"/>
  <sheetData>
    <row r="1" spans="1:52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5.8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5.8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25.8">
      <c r="A4" s="4" t="s">
        <v>2</v>
      </c>
      <c r="B4" s="48"/>
      <c r="C4" s="49"/>
      <c r="D4" s="5"/>
      <c r="E4" s="4" t="s">
        <v>4</v>
      </c>
      <c r="F4" s="50"/>
      <c r="G4" s="51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5.8">
      <c r="A5" s="4" t="s">
        <v>109</v>
      </c>
      <c r="B5" s="48"/>
      <c r="C5" s="49"/>
      <c r="D5" s="5"/>
      <c r="E5" s="4" t="s">
        <v>7</v>
      </c>
      <c r="F5" s="52"/>
      <c r="G5" s="53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5.8">
      <c r="A6" s="4" t="s">
        <v>8</v>
      </c>
      <c r="B6" s="55"/>
      <c r="C6" s="56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5.8">
      <c r="A7" s="4" t="s">
        <v>9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5.8">
      <c r="A8" s="4" t="s">
        <v>10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5.8">
      <c r="A9" s="4" t="s">
        <v>11</v>
      </c>
      <c r="B9" s="38"/>
      <c r="C9" s="38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  <c r="M11" s="16" t="s">
        <v>12</v>
      </c>
      <c r="N11" s="16" t="s">
        <v>12</v>
      </c>
      <c r="O11" s="16" t="s">
        <v>12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12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12</v>
      </c>
      <c r="AF11" s="16" t="s">
        <v>12</v>
      </c>
      <c r="AG11" s="16" t="s">
        <v>12</v>
      </c>
      <c r="AH11" s="16" t="s">
        <v>12</v>
      </c>
      <c r="AI11" s="16" t="s">
        <v>12</v>
      </c>
      <c r="AJ11" s="16" t="s">
        <v>12</v>
      </c>
      <c r="AK11" s="16" t="s">
        <v>12</v>
      </c>
      <c r="AL11" s="16" t="s">
        <v>12</v>
      </c>
      <c r="AM11" s="16" t="s">
        <v>12</v>
      </c>
      <c r="AN11" s="16" t="s">
        <v>12</v>
      </c>
      <c r="AO11" s="16" t="s">
        <v>12</v>
      </c>
      <c r="AP11" s="16" t="s">
        <v>12</v>
      </c>
      <c r="AQ11" s="16" t="s">
        <v>12</v>
      </c>
      <c r="AR11" s="16" t="s">
        <v>12</v>
      </c>
      <c r="AS11" s="16" t="s">
        <v>12</v>
      </c>
      <c r="AT11" s="16" t="s">
        <v>12</v>
      </c>
      <c r="AU11" s="16" t="s">
        <v>12</v>
      </c>
      <c r="AV11" s="16" t="s">
        <v>12</v>
      </c>
      <c r="AW11" s="16" t="s">
        <v>12</v>
      </c>
      <c r="AX11" s="16" t="s">
        <v>12</v>
      </c>
      <c r="AY11" s="16" t="s">
        <v>12</v>
      </c>
      <c r="AZ11" s="16" t="s">
        <v>12</v>
      </c>
    </row>
    <row r="12" spans="1:52">
      <c r="A12" s="10"/>
      <c r="B12" s="14"/>
      <c r="C12" s="15" t="s">
        <v>13</v>
      </c>
      <c r="D12" s="15" t="s">
        <v>14</v>
      </c>
      <c r="E12" s="15" t="s">
        <v>15</v>
      </c>
      <c r="F12" s="15" t="s">
        <v>16</v>
      </c>
      <c r="G12" s="57" t="s">
        <v>17</v>
      </c>
      <c r="H12" s="57"/>
      <c r="I12" s="57"/>
      <c r="J12" s="57"/>
      <c r="K12" s="57"/>
      <c r="L12" s="17" t="s">
        <v>18</v>
      </c>
      <c r="M12" s="17" t="s">
        <v>19</v>
      </c>
      <c r="N12" s="58" t="s">
        <v>20</v>
      </c>
      <c r="O12" s="58"/>
      <c r="P12" s="58"/>
      <c r="Q12" s="58"/>
      <c r="R12" s="59" t="s">
        <v>21</v>
      </c>
      <c r="S12" s="59"/>
      <c r="T12" s="59"/>
      <c r="U12" s="59"/>
      <c r="V12" s="59"/>
      <c r="W12" s="59"/>
      <c r="X12" s="59"/>
      <c r="Y12" s="59"/>
      <c r="Z12" s="59"/>
      <c r="AA12" s="57" t="s">
        <v>22</v>
      </c>
      <c r="AB12" s="57"/>
      <c r="AC12" s="57"/>
      <c r="AD12" s="57"/>
      <c r="AE12" s="57" t="s">
        <v>23</v>
      </c>
      <c r="AF12" s="57"/>
      <c r="AG12" s="57"/>
      <c r="AH12" s="57"/>
      <c r="AI12" s="54" t="s">
        <v>24</v>
      </c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 t="s">
        <v>25</v>
      </c>
      <c r="AZ12" s="54"/>
    </row>
    <row r="13" spans="1:52" ht="15.6">
      <c r="A13" s="17"/>
      <c r="B13" s="18"/>
      <c r="C13" s="19" t="s">
        <v>26</v>
      </c>
      <c r="D13" s="20" t="s">
        <v>27</v>
      </c>
      <c r="E13" s="20" t="s">
        <v>28</v>
      </c>
      <c r="F13" s="20" t="s">
        <v>29</v>
      </c>
      <c r="G13" s="21" t="s">
        <v>30</v>
      </c>
      <c r="H13" s="21" t="s">
        <v>31</v>
      </c>
      <c r="I13" s="21" t="s">
        <v>27</v>
      </c>
      <c r="J13" s="21" t="s">
        <v>32</v>
      </c>
      <c r="K13" s="21" t="s">
        <v>32</v>
      </c>
      <c r="L13" s="21" t="s">
        <v>33</v>
      </c>
      <c r="M13" s="21" t="s">
        <v>34</v>
      </c>
      <c r="N13" s="21" t="s">
        <v>35</v>
      </c>
      <c r="O13" s="21" t="s">
        <v>36</v>
      </c>
      <c r="P13" s="21" t="s">
        <v>27</v>
      </c>
      <c r="Q13" s="21" t="s">
        <v>27</v>
      </c>
      <c r="R13" s="21" t="s">
        <v>37</v>
      </c>
      <c r="S13" s="21" t="s">
        <v>37</v>
      </c>
      <c r="T13" s="21" t="s">
        <v>37</v>
      </c>
      <c r="U13" s="21" t="s">
        <v>38</v>
      </c>
      <c r="V13" s="21" t="s">
        <v>38</v>
      </c>
      <c r="W13" s="21" t="s">
        <v>37</v>
      </c>
      <c r="X13" s="21" t="s">
        <v>38</v>
      </c>
      <c r="Y13" s="21" t="s">
        <v>38</v>
      </c>
      <c r="Z13" s="21" t="s">
        <v>37</v>
      </c>
      <c r="AA13" s="21" t="s">
        <v>39</v>
      </c>
      <c r="AB13" s="21" t="s">
        <v>39</v>
      </c>
      <c r="AC13" s="21" t="s">
        <v>40</v>
      </c>
      <c r="AD13" s="21" t="s">
        <v>41</v>
      </c>
      <c r="AE13" s="21" t="s">
        <v>42</v>
      </c>
      <c r="AF13" s="21" t="s">
        <v>42</v>
      </c>
      <c r="AG13" s="21" t="s">
        <v>42</v>
      </c>
      <c r="AH13" s="21" t="s">
        <v>43</v>
      </c>
      <c r="AI13" s="22" t="s">
        <v>44</v>
      </c>
      <c r="AJ13" s="22" t="s">
        <v>44</v>
      </c>
      <c r="AK13" s="22" t="s">
        <v>44</v>
      </c>
      <c r="AL13" s="22" t="s">
        <v>44</v>
      </c>
      <c r="AM13" s="22" t="s">
        <v>44</v>
      </c>
      <c r="AN13" s="22" t="s">
        <v>44</v>
      </c>
      <c r="AO13" s="22" t="s">
        <v>44</v>
      </c>
      <c r="AP13" s="22" t="s">
        <v>44</v>
      </c>
      <c r="AQ13" s="22" t="s">
        <v>44</v>
      </c>
      <c r="AR13" s="22" t="s">
        <v>44</v>
      </c>
      <c r="AS13" s="22" t="s">
        <v>44</v>
      </c>
      <c r="AT13" s="22" t="s">
        <v>44</v>
      </c>
      <c r="AU13" s="22" t="s">
        <v>44</v>
      </c>
      <c r="AV13" s="22" t="s">
        <v>44</v>
      </c>
      <c r="AW13" s="22" t="s">
        <v>44</v>
      </c>
      <c r="AX13" s="22" t="s">
        <v>44</v>
      </c>
      <c r="AY13" s="21" t="s">
        <v>44</v>
      </c>
      <c r="AZ13" s="21" t="s">
        <v>44</v>
      </c>
    </row>
    <row r="14" spans="1:52">
      <c r="A14" s="23" t="s">
        <v>45</v>
      </c>
      <c r="B14" s="24" t="s">
        <v>46</v>
      </c>
      <c r="C14" s="23" t="s">
        <v>47</v>
      </c>
      <c r="D14" s="23" t="s">
        <v>14</v>
      </c>
      <c r="E14" s="23" t="s">
        <v>28</v>
      </c>
      <c r="F14" s="23" t="s">
        <v>48</v>
      </c>
      <c r="G14" s="23" t="s">
        <v>49</v>
      </c>
      <c r="H14" s="23" t="s">
        <v>50</v>
      </c>
      <c r="I14" s="25" t="s">
        <v>51</v>
      </c>
      <c r="J14" s="25" t="s">
        <v>52</v>
      </c>
      <c r="K14" s="25" t="s">
        <v>53</v>
      </c>
      <c r="L14" s="25" t="s">
        <v>54</v>
      </c>
      <c r="M14" s="25" t="s">
        <v>19</v>
      </c>
      <c r="N14" s="25" t="s">
        <v>55</v>
      </c>
      <c r="O14" s="25" t="s">
        <v>56</v>
      </c>
      <c r="P14" s="25" t="s">
        <v>57</v>
      </c>
      <c r="Q14" s="25" t="s">
        <v>58</v>
      </c>
      <c r="R14" s="26" t="s">
        <v>59</v>
      </c>
      <c r="S14" s="27" t="s">
        <v>60</v>
      </c>
      <c r="T14" s="27" t="s">
        <v>61</v>
      </c>
      <c r="U14" s="27" t="s">
        <v>62</v>
      </c>
      <c r="V14" s="27" t="s">
        <v>63</v>
      </c>
      <c r="W14" s="27" t="s">
        <v>64</v>
      </c>
      <c r="X14" s="27" t="s">
        <v>65</v>
      </c>
      <c r="Y14" s="27" t="s">
        <v>66</v>
      </c>
      <c r="Z14" s="27" t="s">
        <v>67</v>
      </c>
      <c r="AA14" s="27" t="s">
        <v>68</v>
      </c>
      <c r="AB14" s="27" t="s">
        <v>69</v>
      </c>
      <c r="AC14" s="27" t="s">
        <v>70</v>
      </c>
      <c r="AD14" s="27" t="s">
        <v>71</v>
      </c>
      <c r="AE14" s="27" t="s">
        <v>72</v>
      </c>
      <c r="AF14" s="26" t="s">
        <v>73</v>
      </c>
      <c r="AG14" s="26" t="s">
        <v>74</v>
      </c>
      <c r="AH14" s="26" t="s">
        <v>75</v>
      </c>
      <c r="AI14" s="28" t="s">
        <v>76</v>
      </c>
      <c r="AJ14" s="28" t="s">
        <v>77</v>
      </c>
      <c r="AK14" s="28" t="s">
        <v>78</v>
      </c>
      <c r="AL14" s="28" t="s">
        <v>79</v>
      </c>
      <c r="AM14" s="28" t="s">
        <v>80</v>
      </c>
      <c r="AN14" s="28" t="s">
        <v>81</v>
      </c>
      <c r="AO14" s="28" t="s">
        <v>82</v>
      </c>
      <c r="AP14" s="28" t="s">
        <v>83</v>
      </c>
      <c r="AQ14" s="28" t="s">
        <v>84</v>
      </c>
      <c r="AR14" s="28" t="s">
        <v>85</v>
      </c>
      <c r="AS14" s="28" t="s">
        <v>86</v>
      </c>
      <c r="AT14" s="28" t="s">
        <v>87</v>
      </c>
      <c r="AU14" s="28" t="s">
        <v>88</v>
      </c>
      <c r="AV14" s="28" t="s">
        <v>89</v>
      </c>
      <c r="AW14" s="28" t="s">
        <v>90</v>
      </c>
      <c r="AX14" s="28" t="s">
        <v>91</v>
      </c>
      <c r="AY14" s="26" t="s">
        <v>92</v>
      </c>
      <c r="AZ14" s="26" t="s">
        <v>93</v>
      </c>
    </row>
    <row r="15" spans="1:52">
      <c r="A15" s="29" t="s">
        <v>94</v>
      </c>
      <c r="B15" s="30"/>
      <c r="C15" s="17" t="s">
        <v>95</v>
      </c>
      <c r="D15" s="17"/>
      <c r="E15" s="17"/>
      <c r="F15" s="17"/>
      <c r="G15" s="31"/>
      <c r="H15" s="31"/>
      <c r="I15" s="21"/>
      <c r="J15" s="21"/>
      <c r="K15" s="21"/>
      <c r="L15" s="21"/>
      <c r="M15" s="37" t="e">
        <f>(L15/(((H15*10)/64500)*10^6))*100</f>
        <v>#DIV/0!</v>
      </c>
      <c r="N15" s="32"/>
      <c r="O15" s="32"/>
      <c r="P15" s="32"/>
      <c r="Q15" s="32"/>
      <c r="R15" s="21"/>
      <c r="S15" s="33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>
      <c r="A16" s="19" t="s">
        <v>96</v>
      </c>
      <c r="B16" s="30"/>
      <c r="C16" s="17" t="s">
        <v>95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>
      <c r="A17" s="19" t="s">
        <v>97</v>
      </c>
      <c r="B17" s="30"/>
      <c r="C17" s="17" t="s">
        <v>95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>
      <c r="A18" s="36" t="s">
        <v>98</v>
      </c>
      <c r="B18" s="30"/>
      <c r="C18" s="17" t="s">
        <v>95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>
      <c r="A19" s="19" t="s">
        <v>99</v>
      </c>
      <c r="B19" s="30"/>
      <c r="C19" s="17" t="s">
        <v>95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100</v>
      </c>
      <c r="B20" s="30"/>
      <c r="C20" s="17" t="s">
        <v>95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101</v>
      </c>
      <c r="B21" s="30"/>
      <c r="C21" s="17" t="s">
        <v>95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102</v>
      </c>
      <c r="B22" s="30"/>
      <c r="C22" s="17" t="s">
        <v>95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103</v>
      </c>
      <c r="B23" s="30"/>
      <c r="C23" s="17" t="s">
        <v>95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104</v>
      </c>
      <c r="B24" s="30"/>
      <c r="C24" s="17" t="s">
        <v>95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>
      <c r="A25" s="19" t="s">
        <v>105</v>
      </c>
      <c r="B25" s="30"/>
      <c r="C25" s="17" t="s">
        <v>95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>
      <c r="A26" s="19" t="s">
        <v>106</v>
      </c>
      <c r="B26" s="30"/>
      <c r="C26" s="17" t="s">
        <v>95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8A7ACBF-0E38-4579-BE9B-3FBD375C2476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A600C1-F53E-4EC7-A21E-4B28D13E2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55241-6d26-456a-8fd9-0db667cc9e00"/>
    <ds:schemaRef ds:uri="ff1d7a58-fab8-4303-a582-0d52ca148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B7A52-A480-4348-B0EF-95FF2432C0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094E6-7AE4-4B9D-A916-B2F2782B0566}">
  <ds:schemaRefs>
    <ds:schemaRef ds:uri="http://schemas.microsoft.com/office/2006/documentManagement/types"/>
    <ds:schemaRef ds:uri="ff1d7a58-fab8-4303-a582-0d52ca1487cd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2455241-6d26-456a-8fd9-0db667cc9e0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B-EM 01</vt:lpstr>
      <vt:lpstr>B-EM 02</vt:lpstr>
      <vt:lpstr>B-EM 03</vt:lpstr>
      <vt:lpstr>B-EM 04</vt:lpstr>
      <vt:lpstr>B-EM 05</vt:lpstr>
      <vt:lpstr>B-EM 06</vt:lpstr>
      <vt:lpstr>TEMPLATE</vt:lpstr>
    </vt:vector>
  </TitlesOfParts>
  <Manager/>
  <Company>University of Maryland School of Medicine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Nikolai Vukov</cp:lastModifiedBy>
  <cp:revision/>
  <dcterms:created xsi:type="dcterms:W3CDTF">2026-02-02T19:57:22Z</dcterms:created>
  <dcterms:modified xsi:type="dcterms:W3CDTF">2026-08-25T19:41:37Z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
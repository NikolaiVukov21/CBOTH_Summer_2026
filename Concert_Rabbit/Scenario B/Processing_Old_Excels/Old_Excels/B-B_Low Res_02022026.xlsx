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omumaryland.sharepoint.com/sites/research_collaboration/CBOTH/BioEngineering Core/01) Scenario B_CBOTH Intern Summaries/"/>
    </mc:Choice>
  </mc:AlternateContent>
  <xr:revisionPtr revIDLastSave="3372" documentId="8_{E7DC572E-1D86-4C0C-A851-A6042132546B}" xr6:coauthVersionLast="47" xr6:coauthVersionMax="47" xr10:uidLastSave="{9C022B76-9359-4380-8EBC-73F5F3E102AE}"/>
  <bookViews>
    <workbookView xWindow="11940" yWindow="740" windowWidth="25480" windowHeight="17260" firstSheet="20" activeTab="17" xr2:uid="{5FEA6035-9DC8-4B49-A15C-C64AFA3737BD}"/>
  </bookViews>
  <sheets>
    <sheet name="B-B 01" sheetId="3" r:id="rId1"/>
    <sheet name="B-B 02" sheetId="2" r:id="rId2"/>
    <sheet name="B-B 03" sheetId="5" r:id="rId3"/>
    <sheet name="B-B 04" sheetId="4" r:id="rId4"/>
    <sheet name="B-B 05" sheetId="6" r:id="rId5"/>
    <sheet name="B-B 06" sheetId="7" r:id="rId6"/>
    <sheet name="B-B 07" sheetId="8" r:id="rId7"/>
    <sheet name="B-B 08" sheetId="9" r:id="rId8"/>
    <sheet name="B-B 09" sheetId="10" r:id="rId9"/>
    <sheet name="B-B 10" sheetId="11" r:id="rId10"/>
    <sheet name="B-B 11" sheetId="12" r:id="rId11"/>
    <sheet name="B-B 12" sheetId="13" r:id="rId12"/>
    <sheet name="B-B 13" sheetId="14" r:id="rId13"/>
    <sheet name="B-B 14" sheetId="17" r:id="rId14"/>
    <sheet name="B-B 15" sheetId="18" r:id="rId15"/>
    <sheet name="B-B 16" sheetId="19" r:id="rId16"/>
    <sheet name="B-B 17" sheetId="20" r:id="rId17"/>
    <sheet name="B-B 18" sheetId="21" r:id="rId18"/>
    <sheet name="B-B 19" sheetId="22" r:id="rId19"/>
    <sheet name="B-B 20" sheetId="23" r:id="rId20"/>
    <sheet name="B-B 21" sheetId="24" r:id="rId21"/>
    <sheet name="B-B 22" sheetId="26" r:id="rId22"/>
    <sheet name="B-B 23" sheetId="25" r:id="rId23"/>
    <sheet name="B-B 24" sheetId="27" r:id="rId24"/>
    <sheet name="B-B 25" sheetId="28" r:id="rId25"/>
    <sheet name="B-B 26" sheetId="29" r:id="rId26"/>
    <sheet name="B-B 27" sheetId="30" r:id="rId27"/>
    <sheet name="B-B 28" sheetId="31" r:id="rId28"/>
    <sheet name="B-B 29" sheetId="32" r:id="rId29"/>
    <sheet name="B-B 30" sheetId="16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5" i="3"/>
  <c r="J4" i="3"/>
  <c r="M25" i="28"/>
  <c r="M24" i="28"/>
  <c r="M23" i="28"/>
  <c r="M22" i="28"/>
  <c r="M21" i="28"/>
  <c r="M20" i="28"/>
  <c r="M19" i="28"/>
  <c r="M18" i="28"/>
  <c r="M17" i="28"/>
  <c r="M16" i="28"/>
  <c r="M15" i="28"/>
  <c r="M24" i="25"/>
  <c r="M23" i="25"/>
  <c r="M22" i="25"/>
  <c r="M21" i="25"/>
  <c r="M20" i="25"/>
  <c r="M19" i="25"/>
  <c r="M18" i="25"/>
  <c r="M17" i="25"/>
  <c r="M16" i="25"/>
  <c r="M15" i="25"/>
  <c r="M25" i="24"/>
  <c r="M24" i="24"/>
  <c r="M23" i="24"/>
  <c r="M22" i="24"/>
  <c r="M21" i="24"/>
  <c r="M20" i="24"/>
  <c r="M19" i="24"/>
  <c r="M18" i="24"/>
  <c r="M17" i="24"/>
  <c r="M16" i="24"/>
  <c r="M15" i="24"/>
  <c r="M25" i="23"/>
  <c r="M24" i="23"/>
  <c r="M23" i="23"/>
  <c r="M22" i="23"/>
  <c r="M21" i="23"/>
  <c r="M20" i="23"/>
  <c r="M19" i="23"/>
  <c r="M18" i="23"/>
  <c r="M17" i="23"/>
  <c r="M16" i="23"/>
  <c r="M15" i="23"/>
  <c r="M25" i="18"/>
  <c r="M24" i="18"/>
  <c r="M23" i="18"/>
  <c r="M22" i="18"/>
  <c r="M21" i="18"/>
  <c r="M20" i="18"/>
  <c r="M19" i="18"/>
  <c r="M18" i="18"/>
  <c r="M17" i="18"/>
  <c r="M16" i="18"/>
  <c r="M15" i="18"/>
  <c r="M25" i="17"/>
  <c r="M24" i="17"/>
  <c r="M23" i="17"/>
  <c r="M22" i="17"/>
  <c r="M21" i="17"/>
  <c r="M20" i="17"/>
  <c r="M19" i="17"/>
  <c r="M18" i="17"/>
  <c r="M17" i="17"/>
  <c r="M16" i="17"/>
  <c r="M15" i="17"/>
  <c r="M25" i="16"/>
  <c r="M24" i="16"/>
  <c r="M23" i="16"/>
  <c r="M22" i="16"/>
  <c r="M21" i="16"/>
  <c r="M20" i="16"/>
  <c r="M19" i="16"/>
  <c r="M18" i="16"/>
  <c r="M17" i="16"/>
  <c r="M16" i="16"/>
  <c r="M15" i="16"/>
  <c r="M25" i="11"/>
  <c r="M24" i="11"/>
  <c r="M23" i="11"/>
  <c r="M22" i="11"/>
  <c r="M21" i="11"/>
  <c r="M20" i="11"/>
  <c r="M19" i="11"/>
  <c r="M18" i="11"/>
  <c r="M17" i="11"/>
  <c r="M16" i="11"/>
  <c r="M15" i="11"/>
  <c r="M24" i="10"/>
  <c r="M23" i="10"/>
  <c r="M22" i="10"/>
  <c r="M21" i="10"/>
  <c r="M20" i="10"/>
  <c r="M19" i="10"/>
  <c r="M18" i="10"/>
  <c r="M17" i="10"/>
  <c r="M16" i="10"/>
  <c r="M15" i="10"/>
  <c r="M25" i="9"/>
  <c r="M24" i="9"/>
  <c r="M23" i="9"/>
  <c r="M22" i="9"/>
  <c r="M21" i="9"/>
  <c r="M20" i="9"/>
  <c r="M19" i="9"/>
  <c r="M18" i="9"/>
  <c r="M17" i="9"/>
  <c r="M16" i="9"/>
  <c r="M15" i="9"/>
  <c r="M25" i="8"/>
  <c r="M24" i="8"/>
  <c r="M23" i="8"/>
  <c r="M22" i="8"/>
  <c r="M21" i="8"/>
  <c r="M20" i="8"/>
  <c r="M19" i="8"/>
  <c r="M18" i="8"/>
  <c r="M17" i="8"/>
  <c r="M16" i="8"/>
  <c r="M15" i="8"/>
  <c r="M25" i="7"/>
  <c r="M24" i="7"/>
  <c r="M23" i="7"/>
  <c r="M22" i="7"/>
  <c r="M21" i="7"/>
  <c r="M20" i="7"/>
  <c r="M19" i="7"/>
  <c r="M18" i="7"/>
  <c r="M17" i="7"/>
  <c r="M16" i="7"/>
  <c r="M15" i="7"/>
  <c r="M25" i="6"/>
  <c r="M24" i="6"/>
  <c r="M23" i="6"/>
  <c r="M22" i="6"/>
  <c r="M21" i="6"/>
  <c r="M20" i="6"/>
  <c r="M19" i="6"/>
  <c r="M18" i="6"/>
  <c r="M17" i="6"/>
  <c r="M16" i="6"/>
  <c r="M15" i="6"/>
  <c r="M25" i="4"/>
  <c r="M24" i="4"/>
  <c r="M23" i="4"/>
  <c r="M22" i="4"/>
  <c r="M21" i="4"/>
  <c r="M20" i="4"/>
  <c r="M19" i="4"/>
  <c r="M18" i="4"/>
  <c r="M17" i="4"/>
  <c r="M16" i="4"/>
  <c r="M15" i="4"/>
  <c r="M25" i="5"/>
  <c r="M24" i="5"/>
  <c r="M23" i="5"/>
  <c r="M22" i="5"/>
  <c r="M21" i="5"/>
  <c r="M20" i="5"/>
  <c r="M19" i="5"/>
  <c r="M18" i="5"/>
  <c r="M17" i="5"/>
  <c r="M16" i="5"/>
  <c r="M15" i="5"/>
  <c r="M26" i="3"/>
  <c r="M16" i="3"/>
  <c r="M17" i="3"/>
  <c r="M18" i="3"/>
  <c r="M19" i="3"/>
  <c r="M20" i="3"/>
  <c r="M21" i="3"/>
  <c r="M22" i="3"/>
  <c r="M23" i="3"/>
  <c r="M24" i="3"/>
  <c r="M25" i="3"/>
  <c r="M15" i="3"/>
  <c r="M25" i="2"/>
  <c r="M24" i="2"/>
  <c r="M23" i="2"/>
  <c r="M22" i="2"/>
  <c r="M21" i="2"/>
  <c r="M20" i="2"/>
  <c r="M19" i="2"/>
  <c r="M18" i="2"/>
  <c r="M17" i="2"/>
  <c r="M16" i="2"/>
  <c r="M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tc={DAAA0D85-AAFF-A748-A80B-9B89109D7D94}</author>
    <author>tc={F27A85E7-BEC5-8948-B339-F1C59B0CFBC6}</author>
  </authors>
  <commentList>
    <comment ref="B7" authorId="0" shapeId="0" xr:uid="{DAAA0D85-AAFF-A748-A80B-9B89109D7D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tony where to find this number- inconsistencies on chart
Reply:
    or find physical folder</t>
      </text>
    </comment>
    <comment ref="F12" authorId="1" shapeId="0" xr:uid="{F27A85E7-BEC5-8948-B339-F1C59B0CFBC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have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tc={6DBFBE56-B032-F64D-B8FC-B4EE50FC1763}</author>
  </authors>
  <commentList>
    <comment ref="B7" authorId="0" shapeId="0" xr:uid="{6DBFBE56-B032-F64D-B8FC-B4EE50FC1763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tc={7E5B4092-C512-D148-A262-486641F28AF0}</author>
  </authors>
  <commentList>
    <comment ref="F4" authorId="0" shapeId="0" xr:uid="{7E5B4092-C512-D148-A262-486641F28A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72 Hr Time point- maybe died. No note to exclude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tc={E04C0FEC-4DEA-4346-B64C-B0BEFC502312}</author>
    <author>tc={C7B5374C-20DE-D847-B88D-F688FD142388}</author>
  </authors>
  <commentList>
    <comment ref="O17" authorId="0" shapeId="0" xr:uid="{E04C0FEC-4DEA-4346-B64C-B0BEFC502312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scan on ABG</t>
      </text>
    </comment>
    <comment ref="N21" authorId="1" shapeId="0" xr:uid="{C7B5374C-20DE-D847-B88D-F688FD142388}">
      <text>
        <t>[Threaded comment]
Your version of Excel allows you to read this threaded comment; however, any edits to it will get removed if the file is opened in a newer version of Excel. Learn more: https://go.microsoft.com/fwlink/?linkid=870924
Comment:
    "?" no lac reading on ABG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tc={A64D07E1-C17D-2F48-B4BE-3BF0A47BCA24}</author>
  </authors>
  <commentList>
    <comment ref="B7" authorId="0" shapeId="0" xr:uid="{A64D07E1-C17D-2F48-B4BE-3BF0A47BCA24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folder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tc={892D4D97-5800-A94D-BCE3-921A25BD17F6}</author>
  </authors>
  <commentList>
    <comment ref="B6" authorId="0" shapeId="0" xr:uid="{892D4D97-5800-A94D-BCE3-921A25BD17F6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from folder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tc={B9AB484A-63A7-B149-B1F0-974DC8F3F285}</author>
    <author>tc={F06A5B03-FEC5-F545-8410-9ED7E84C163C}</author>
  </authors>
  <commentList>
    <comment ref="F4" authorId="0" shapeId="0" xr:uid="{B9AB484A-63A7-B149-B1F0-974DC8F3F28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</t>
      </text>
    </comment>
    <comment ref="B6" authorId="1" shapeId="0" xr:uid="{F06A5B03-FEC5-F545-8410-9ED7E84C163C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find physical chart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tc={1AE27E91-125B-3541-BF57-B056A4EE38C0}</author>
  </authors>
  <commentList>
    <comment ref="A1" authorId="0" shapeId="0" xr:uid="{1AE27E91-125B-3541-BF57-B056A4EE38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have scanned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tc={ACCC5424-2C1C-1B4E-A9F1-4A46E2FC696D}</author>
  </authors>
  <commentList>
    <comment ref="A1" authorId="0" shapeId="0" xr:uid="{ACCC5424-2C1C-1B4E-A9F1-4A46E2FC696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have scanned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tc={44085B63-3AE4-7747-BC0C-4A876C8E2293}</author>
  </authors>
  <commentList>
    <comment ref="AG16" authorId="0" shapeId="0" xr:uid="{44085B63-3AE4-7747-BC0C-4A876C8E2293}">
      <text>
        <t>[Threaded comment]
Your version of Excel allows you to read this threaded comment; however, any edits to it will get removed if the file is opened in a newer version of Excel. Learn more: https://go.microsoft.com/fwlink/?linkid=870924
Comment:
    "view curve" = no data</t>
      </text>
    </comment>
  </commentList>
</comments>
</file>

<file path=xl/sharedStrings.xml><?xml version="1.0" encoding="utf-8"?>
<sst xmlns="http://schemas.openxmlformats.org/spreadsheetml/2006/main" count="9731" uniqueCount="900">
  <si>
    <t>CONCERT: Rabbit B-B (YR1/YR2) - UMB</t>
  </si>
  <si>
    <t>Please insert data from only 1 unit per Round</t>
  </si>
  <si>
    <t>Recipient rabbit ID:</t>
  </si>
  <si>
    <t>B_B 01</t>
  </si>
  <si>
    <t>Exclude rabbit?</t>
  </si>
  <si>
    <t>No</t>
  </si>
  <si>
    <t>Rabbit TBV (mL)</t>
  </si>
  <si>
    <t>Rabbit weight: (kg)</t>
  </si>
  <si>
    <t>Reason:</t>
  </si>
  <si>
    <t>40% (mL)</t>
  </si>
  <si>
    <t>Transfusion date:</t>
  </si>
  <si>
    <t>Bleed volume (mL) &amp; %:</t>
  </si>
  <si>
    <t>Transfusion volume (mL):</t>
  </si>
  <si>
    <t>Tele #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</si>
  <si>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</si>
  <si>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</si>
  <si>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</si>
  <si>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</si>
  <si>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</si>
  <si>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</si>
  <si>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</si>
  <si>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</si>
  <si>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</si>
  <si>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</si>
  <si>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</si>
  <si>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</si>
  <si>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</si>
  <si>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</si>
  <si>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</si>
  <si>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</si>
  <si>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</si>
  <si>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</si>
  <si>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</si>
  <si>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</si>
  <si>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</si>
  <si>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</si>
  <si>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</si>
  <si>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</si>
  <si>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</si>
  <si>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</si>
  <si>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</si>
  <si>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</si>
  <si>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</si>
  <si>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</si>
  <si>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</si>
  <si>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</si>
  <si>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</si>
  <si>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</si>
  <si>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</si>
  <si>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</si>
  <si>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</si>
  <si>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</si>
  <si>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</si>
  <si>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</si>
  <si>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</si>
  <si>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</si>
  <si>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</si>
  <si>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</si>
  <si>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</si>
  <si>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</si>
  <si>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</si>
  <si>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</si>
  <si>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</si>
  <si>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</si>
  <si>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</si>
  <si>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</si>
  <si>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</si>
  <si>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</si>
  <si>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</si>
  <si>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</si>
  <si>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</si>
  <si>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</si>
  <si>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</si>
  <si>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</si>
  <si>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</si>
  <si>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</si>
  <si>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</si>
  <si>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</si>
  <si>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</si>
  <si>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</si>
  <si>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</si>
  <si>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</si>
  <si>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</si>
  <si>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</si>
  <si>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</si>
  <si>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</si>
  <si>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</si>
  <si>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</si>
  <si>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</si>
  <si>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</si>
  <si>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</si>
  <si>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</si>
  <si>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</si>
  <si>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</si>
  <si>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</si>
  <si>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</si>
  <si>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</si>
  <si>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</si>
  <si>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</si>
  <si>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</si>
  <si>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10%</t>
  </si>
  <si>
    <t>7.5%</t>
  </si>
  <si>
    <t>5%</t>
  </si>
  <si>
    <t>2.5%</t>
  </si>
  <si>
    <t>EOB</t>
  </si>
  <si>
    <t>24HR</t>
  </si>
  <si>
    <t>48HR</t>
  </si>
  <si>
    <t>72HR</t>
  </si>
  <si>
    <t>Pre-Death</t>
  </si>
  <si>
    <t>B-B 02</t>
  </si>
  <si>
    <t>NO</t>
  </si>
  <si>
    <t>Rabbit weight:</t>
  </si>
  <si>
    <t>B-B 03</t>
  </si>
  <si>
    <t>B-B 04</t>
  </si>
  <si>
    <t>B-B 05</t>
  </si>
  <si>
    <t>Yes</t>
  </si>
  <si>
    <t>Seizures</t>
  </si>
  <si>
    <t>B-B 06</t>
  </si>
  <si>
    <t>B-B 07</t>
  </si>
  <si>
    <t>B-B 08</t>
  </si>
  <si>
    <t>10:088</t>
  </si>
  <si>
    <t>2:08PM</t>
  </si>
  <si>
    <t>1..7</t>
  </si>
  <si>
    <t>2:18PM</t>
  </si>
  <si>
    <t>10:08PM</t>
  </si>
  <si>
    <t>B-B 09</t>
  </si>
  <si>
    <t>20%</t>
  </si>
  <si>
    <t>15%</t>
  </si>
  <si>
    <t>1HR</t>
  </si>
  <si>
    <t>B-B 10</t>
  </si>
  <si>
    <t>B-B 11</t>
  </si>
  <si>
    <t/>
  </si>
  <si>
    <t>5.99</t>
  </si>
  <si>
    <t>12.1</t>
  </si>
  <si>
    <t>38.7</t>
  </si>
  <si>
    <t>168</t>
  </si>
  <si>
    <t>4.6</t>
  </si>
  <si>
    <t>0.6</t>
  </si>
  <si>
    <t>7.489</t>
  </si>
  <si>
    <t>39.3</t>
  </si>
  <si>
    <t>75.1</t>
  </si>
  <si>
    <t>82</t>
  </si>
  <si>
    <t>108</t>
  </si>
  <si>
    <t>164</t>
  </si>
  <si>
    <t>0.9</t>
  </si>
  <si>
    <t>13.21</t>
  </si>
  <si>
    <t>255</t>
  </si>
  <si>
    <t>73.45</t>
  </si>
  <si>
    <t>140.6</t>
  </si>
  <si>
    <t>7</t>
  </si>
  <si>
    <t>3.98</t>
  </si>
  <si>
    <t>8.2</t>
  </si>
  <si>
    <t>25.4</t>
  </si>
  <si>
    <t>183</t>
  </si>
  <si>
    <t>3.9</t>
  </si>
  <si>
    <t>10.1</t>
  </si>
  <si>
    <t>7.322</t>
  </si>
  <si>
    <t>36.1</t>
  </si>
  <si>
    <t>88.6</t>
  </si>
  <si>
    <t>4.71</t>
  </si>
  <si>
    <t>9.7</t>
  </si>
  <si>
    <t>30</t>
  </si>
  <si>
    <t>179</t>
  </si>
  <si>
    <t>4.8</t>
  </si>
  <si>
    <t>9.1</t>
  </si>
  <si>
    <t>7.312</t>
  </si>
  <si>
    <t>39.4</t>
  </si>
  <si>
    <t>91.6</t>
  </si>
  <si>
    <t>78</t>
  </si>
  <si>
    <t>95</t>
  </si>
  <si>
    <t>124</t>
  </si>
  <si>
    <t>0.8</t>
  </si>
  <si>
    <t>21.13</t>
  </si>
  <si>
    <t>249</t>
  </si>
  <si>
    <t>160.55</t>
  </si>
  <si>
    <t>304.52</t>
  </si>
  <si>
    <t>9.9</t>
  </si>
  <si>
    <t>39</t>
  </si>
  <si>
    <t>2.7</t>
  </si>
  <si>
    <t>7.479</t>
  </si>
  <si>
    <t>38.9</t>
  </si>
  <si>
    <t>86.5</t>
  </si>
  <si>
    <t>1.4</t>
  </si>
  <si>
    <t>7.52</t>
  </si>
  <si>
    <t>37.2</t>
  </si>
  <si>
    <t>83.4</t>
  </si>
  <si>
    <t>1.1</t>
  </si>
  <si>
    <t>7.523</t>
  </si>
  <si>
    <t>37.5</t>
  </si>
  <si>
    <t>85.3</t>
  </si>
  <si>
    <t>0.7</t>
  </si>
  <si>
    <t>7.476</t>
  </si>
  <si>
    <t>37.6</t>
  </si>
  <si>
    <t>90</t>
  </si>
  <si>
    <t>5.71</t>
  </si>
  <si>
    <t>11.8</t>
  </si>
  <si>
    <t>36.7</t>
  </si>
  <si>
    <t>167</t>
  </si>
  <si>
    <t>6.2</t>
  </si>
  <si>
    <t>7.493</t>
  </si>
  <si>
    <t>89.8</t>
  </si>
  <si>
    <t>113</t>
  </si>
  <si>
    <t>125</t>
  </si>
  <si>
    <t>202</t>
  </si>
  <si>
    <t>23.79</t>
  </si>
  <si>
    <t>273</t>
  </si>
  <si>
    <t>186.6</t>
  </si>
  <si>
    <t>135.86</t>
  </si>
  <si>
    <t>9</t>
  </si>
  <si>
    <t>4.66</t>
  </si>
  <si>
    <t>9.5</t>
  </si>
  <si>
    <t>29.9</t>
  </si>
  <si>
    <t>312</t>
  </si>
  <si>
    <t>6.5</t>
  </si>
  <si>
    <t>1.5</t>
  </si>
  <si>
    <t>7.469</t>
  </si>
  <si>
    <t>39.7</t>
  </si>
  <si>
    <t>84</t>
  </si>
  <si>
    <t>62</t>
  </si>
  <si>
    <t>123</t>
  </si>
  <si>
    <t>116</t>
  </si>
  <si>
    <t>14.05</t>
  </si>
  <si>
    <t>284</t>
  </si>
  <si>
    <t>183.01</t>
  </si>
  <si>
    <t>158.86</t>
  </si>
  <si>
    <t>4.87</t>
  </si>
  <si>
    <t>10.2</t>
  </si>
  <si>
    <t>31.3</t>
  </si>
  <si>
    <t>425</t>
  </si>
  <si>
    <t>6.7</t>
  </si>
  <si>
    <t>0.4</t>
  </si>
  <si>
    <t>7.475</t>
  </si>
  <si>
    <t>35.3</t>
  </si>
  <si>
    <t>90.2</t>
  </si>
  <si>
    <t>33</t>
  </si>
  <si>
    <t>103</t>
  </si>
  <si>
    <t>59</t>
  </si>
  <si>
    <t>15.9</t>
  </si>
  <si>
    <t>295</t>
  </si>
  <si>
    <t>198.52</t>
  </si>
  <si>
    <t>156.84</t>
  </si>
  <si>
    <t>10</t>
  </si>
  <si>
    <t>B-B 12</t>
  </si>
  <si>
    <t>65</t>
  </si>
  <si>
    <t>4.09</t>
  </si>
  <si>
    <t>27.2</t>
  </si>
  <si>
    <t>165</t>
  </si>
  <si>
    <t>5.2</t>
  </si>
  <si>
    <t>7.8</t>
  </si>
  <si>
    <t>12.3</t>
  </si>
  <si>
    <t>205</t>
  </si>
  <si>
    <t>147</t>
  </si>
  <si>
    <t>0.5</t>
  </si>
  <si>
    <t>275</t>
  </si>
  <si>
    <t>195.57</t>
  </si>
  <si>
    <t>148.81</t>
  </si>
  <si>
    <t>35</t>
  </si>
  <si>
    <t>2.46</t>
  </si>
  <si>
    <t>5.5</t>
  </si>
  <si>
    <t>16.3</t>
  </si>
  <si>
    <t>158</t>
  </si>
  <si>
    <t>7.3</t>
  </si>
  <si>
    <t>12.5</t>
  </si>
  <si>
    <t>7.301</t>
  </si>
  <si>
    <t>38.1</t>
  </si>
  <si>
    <t>102</t>
  </si>
  <si>
    <t>74</t>
  </si>
  <si>
    <t>3.11</t>
  </si>
  <si>
    <t>6.9</t>
  </si>
  <si>
    <t>20.8</t>
  </si>
  <si>
    <t>7.1</t>
  </si>
  <si>
    <t>12.9</t>
  </si>
  <si>
    <t>7.262</t>
  </si>
  <si>
    <t>47.1</t>
  </si>
  <si>
    <t>92.6</t>
  </si>
  <si>
    <t>57</t>
  </si>
  <si>
    <t>174</t>
  </si>
  <si>
    <t>19.19</t>
  </si>
  <si>
    <t>228</t>
  </si>
  <si>
    <t>245.6</t>
  </si>
  <si>
    <t>267.67</t>
  </si>
  <si>
    <t>8</t>
  </si>
  <si>
    <t>64</t>
  </si>
  <si>
    <t>7.2</t>
  </si>
  <si>
    <t>7.452</t>
  </si>
  <si>
    <t>100</t>
  </si>
  <si>
    <t>49</t>
  </si>
  <si>
    <t>4.1</t>
  </si>
  <si>
    <t>7.473</t>
  </si>
  <si>
    <t>94.6</t>
  </si>
  <si>
    <t>47</t>
  </si>
  <si>
    <t>3.3</t>
  </si>
  <si>
    <t>7.472</t>
  </si>
  <si>
    <t>35.5</t>
  </si>
  <si>
    <t>87.8</t>
  </si>
  <si>
    <t>71</t>
  </si>
  <si>
    <t>2.1</t>
  </si>
  <si>
    <t>7.499</t>
  </si>
  <si>
    <t>34.6</t>
  </si>
  <si>
    <t>82.5</t>
  </si>
  <si>
    <t>60</t>
  </si>
  <si>
    <t>3.39</t>
  </si>
  <si>
    <t>7.4</t>
  </si>
  <si>
    <t>22.6</t>
  </si>
  <si>
    <t>177</t>
  </si>
  <si>
    <t>2.4</t>
  </si>
  <si>
    <t>7.498</t>
  </si>
  <si>
    <t>37.9</t>
  </si>
  <si>
    <t>78.1</t>
  </si>
  <si>
    <t>80</t>
  </si>
  <si>
    <t>150</t>
  </si>
  <si>
    <t>15.57</t>
  </si>
  <si>
    <t>250</t>
  </si>
  <si>
    <t>333.2</t>
  </si>
  <si>
    <t>145.51</t>
  </si>
  <si>
    <t>76</t>
  </si>
  <si>
    <t>3.51</t>
  </si>
  <si>
    <t>8.1</t>
  </si>
  <si>
    <t>23.4</t>
  </si>
  <si>
    <t>247</t>
  </si>
  <si>
    <t>7.5</t>
  </si>
  <si>
    <t>1.6</t>
  </si>
  <si>
    <t>7.385</t>
  </si>
  <si>
    <t>49.8</t>
  </si>
  <si>
    <t>31.6</t>
  </si>
  <si>
    <t>37</t>
  </si>
  <si>
    <t>11.68</t>
  </si>
  <si>
    <t>432</t>
  </si>
  <si>
    <t>404.5</t>
  </si>
  <si>
    <t>142.53</t>
  </si>
  <si>
    <t>12</t>
  </si>
  <si>
    <t>3.76</t>
  </si>
  <si>
    <t>8.4</t>
  </si>
  <si>
    <t>26</t>
  </si>
  <si>
    <t>344</t>
  </si>
  <si>
    <t>1.2</t>
  </si>
  <si>
    <t>7.397</t>
  </si>
  <si>
    <t>49.9</t>
  </si>
  <si>
    <t>31</t>
  </si>
  <si>
    <t>48</t>
  </si>
  <si>
    <t>23</t>
  </si>
  <si>
    <t>9.08</t>
  </si>
  <si>
    <t>127.75</t>
  </si>
  <si>
    <t>123.97</t>
  </si>
  <si>
    <t>B-B 13</t>
  </si>
  <si>
    <t>48,72</t>
  </si>
  <si>
    <t>8:45AM</t>
  </si>
  <si>
    <t>11:03AM</t>
  </si>
  <si>
    <t>12:03PM</t>
  </si>
  <si>
    <t>1:03PM</t>
  </si>
  <si>
    <t>2:03PM</t>
  </si>
  <si>
    <t>3:03PM</t>
  </si>
  <si>
    <t>3:10PM</t>
  </si>
  <si>
    <t>B-B 14</t>
  </si>
  <si>
    <t xml:space="preserve">Rabbit Died </t>
  </si>
  <si>
    <t>B-B 15</t>
  </si>
  <si>
    <t>Died immediately after resuscitation</t>
  </si>
  <si>
    <t>Doesn't have</t>
  </si>
  <si>
    <t>7:45am</t>
  </si>
  <si>
    <t>10:00am</t>
  </si>
  <si>
    <t>10:10am</t>
  </si>
  <si>
    <t>B-B 16</t>
  </si>
  <si>
    <t>7:45AM</t>
  </si>
  <si>
    <t>5.98</t>
  </si>
  <si>
    <t>12.7</t>
  </si>
  <si>
    <t>39.9</t>
  </si>
  <si>
    <t>5.8</t>
  </si>
  <si>
    <t>2.2</t>
  </si>
  <si>
    <t>7.434</t>
  </si>
  <si>
    <t>74.4</t>
  </si>
  <si>
    <t>54</t>
  </si>
  <si>
    <t>87</t>
  </si>
  <si>
    <t>13.06</t>
  </si>
  <si>
    <t>231</t>
  </si>
  <si>
    <t>82.08</t>
  </si>
  <si>
    <t>137.55</t>
  </si>
  <si>
    <t>29</t>
  </si>
  <si>
    <t>3.82</t>
  </si>
  <si>
    <t>8.3</t>
  </si>
  <si>
    <t>25.1</t>
  </si>
  <si>
    <t>182</t>
  </si>
  <si>
    <t>4</t>
  </si>
  <si>
    <t>6.8</t>
  </si>
  <si>
    <t>7.396</t>
  </si>
  <si>
    <t>34.7</t>
  </si>
  <si>
    <t>4.48</t>
  </si>
  <si>
    <t>9.6</t>
  </si>
  <si>
    <t>29.6</t>
  </si>
  <si>
    <t>170</t>
  </si>
  <si>
    <t>5</t>
  </si>
  <si>
    <t>7.304</t>
  </si>
  <si>
    <t>42.6</t>
  </si>
  <si>
    <t>81.1</t>
  </si>
  <si>
    <t>56</t>
  </si>
  <si>
    <t>51</t>
  </si>
  <si>
    <t>149</t>
  </si>
  <si>
    <t>19.95</t>
  </si>
  <si>
    <t>196</t>
  </si>
  <si>
    <t>105.08</t>
  </si>
  <si>
    <t>267.16</t>
  </si>
  <si>
    <t>12:11PM</t>
  </si>
  <si>
    <t>61</t>
  </si>
  <si>
    <t>4.2</t>
  </si>
  <si>
    <t>1:11PM</t>
  </si>
  <si>
    <t>7.501</t>
  </si>
  <si>
    <t>34.2</t>
  </si>
  <si>
    <t>2:11PM</t>
  </si>
  <si>
    <t>68</t>
  </si>
  <si>
    <t>37.4</t>
  </si>
  <si>
    <t>88.8</t>
  </si>
  <si>
    <t>3:11PM</t>
  </si>
  <si>
    <t>69</t>
  </si>
  <si>
    <t>7.48</t>
  </si>
  <si>
    <t>34.5</t>
  </si>
  <si>
    <t>3:21PM</t>
  </si>
  <si>
    <t>70</t>
  </si>
  <si>
    <t>4.67</t>
  </si>
  <si>
    <t>6.6</t>
  </si>
  <si>
    <t>7.491</t>
  </si>
  <si>
    <t>153</t>
  </si>
  <si>
    <t>306</t>
  </si>
  <si>
    <t>24.31</t>
  </si>
  <si>
    <t>211</t>
  </si>
  <si>
    <t>108.26</t>
  </si>
  <si>
    <t>124.03</t>
  </si>
  <si>
    <t>11:11PM</t>
  </si>
  <si>
    <t>85</t>
  </si>
  <si>
    <t>4.79</t>
  </si>
  <si>
    <t>32</t>
  </si>
  <si>
    <t>252</t>
  </si>
  <si>
    <t>7.478</t>
  </si>
  <si>
    <t>37.7</t>
  </si>
  <si>
    <t>74.2</t>
  </si>
  <si>
    <t>141</t>
  </si>
  <si>
    <t>180</t>
  </si>
  <si>
    <t>259</t>
  </si>
  <si>
    <t>18.25</t>
  </si>
  <si>
    <t>493</t>
  </si>
  <si>
    <t>192.97</t>
  </si>
  <si>
    <t>147.48</t>
  </si>
  <si>
    <t>81</t>
  </si>
  <si>
    <t>4.82</t>
  </si>
  <si>
    <t>10.6</t>
  </si>
  <si>
    <t>32.2</t>
  </si>
  <si>
    <t>340</t>
  </si>
  <si>
    <t>7.6</t>
  </si>
  <si>
    <t>55.3</t>
  </si>
  <si>
    <t>160</t>
  </si>
  <si>
    <t>14.86</t>
  </si>
  <si>
    <t>430</t>
  </si>
  <si>
    <t>182.27</t>
  </si>
  <si>
    <t>158.54</t>
  </si>
  <si>
    <t>B-B 17</t>
  </si>
  <si>
    <t>6.82</t>
  </si>
  <si>
    <t>13.3</t>
  </si>
  <si>
    <t>40.8</t>
  </si>
  <si>
    <t>173</t>
  </si>
  <si>
    <t>5.6</t>
  </si>
  <si>
    <t>7.445</t>
  </si>
  <si>
    <t>29.1</t>
  </si>
  <si>
    <t>85.9</t>
  </si>
  <si>
    <t>232</t>
  </si>
  <si>
    <t>135</t>
  </si>
  <si>
    <t>11.19</t>
  </si>
  <si>
    <t>185</t>
  </si>
  <si>
    <t>148.37</t>
  </si>
  <si>
    <t>122.41</t>
  </si>
  <si>
    <t>36</t>
  </si>
  <si>
    <t>5.18</t>
  </si>
  <si>
    <t>30.8</t>
  </si>
  <si>
    <t>175</t>
  </si>
  <si>
    <t>17</t>
  </si>
  <si>
    <t>7.192</t>
  </si>
  <si>
    <t>118</t>
  </si>
  <si>
    <t>6.01</t>
  </si>
  <si>
    <t>11.3</t>
  </si>
  <si>
    <t>257</t>
  </si>
  <si>
    <t>7.085</t>
  </si>
  <si>
    <t>20</t>
  </si>
  <si>
    <t>650</t>
  </si>
  <si>
    <t>407</t>
  </si>
  <si>
    <t>933</t>
  </si>
  <si>
    <t>23.41</t>
  </si>
  <si>
    <t>246</t>
  </si>
  <si>
    <t>97.1</t>
  </si>
  <si>
    <t>223.17</t>
  </si>
  <si>
    <t>58</t>
  </si>
  <si>
    <t>10.3</t>
  </si>
  <si>
    <t>7.358</t>
  </si>
  <si>
    <t>18.8</t>
  </si>
  <si>
    <t>5.1</t>
  </si>
  <si>
    <t>7.403</t>
  </si>
  <si>
    <t>109</t>
  </si>
  <si>
    <t>53</t>
  </si>
  <si>
    <t>3</t>
  </si>
  <si>
    <t>7.428</t>
  </si>
  <si>
    <t>20.7</t>
  </si>
  <si>
    <t>3.1</t>
  </si>
  <si>
    <t>7.435</t>
  </si>
  <si>
    <t>23.5</t>
  </si>
  <si>
    <t>101</t>
  </si>
  <si>
    <t>77</t>
  </si>
  <si>
    <t>5.93</t>
  </si>
  <si>
    <t>11.1</t>
  </si>
  <si>
    <t>206</t>
  </si>
  <si>
    <t>5.3</t>
  </si>
  <si>
    <t>7.43</t>
  </si>
  <si>
    <t>24.7</t>
  </si>
  <si>
    <t>878</t>
  </si>
  <si>
    <t>27.14</t>
  </si>
  <si>
    <t>227</t>
  </si>
  <si>
    <t>129.51</t>
  </si>
  <si>
    <t>161.33</t>
  </si>
  <si>
    <t>13</t>
  </si>
  <si>
    <t>66</t>
  </si>
  <si>
    <t>6.57</t>
  </si>
  <si>
    <t>39.2</t>
  </si>
  <si>
    <t>239</t>
  </si>
  <si>
    <t>5.4</t>
  </si>
  <si>
    <t>1.3</t>
  </si>
  <si>
    <t>7.462</t>
  </si>
  <si>
    <t>27.7</t>
  </si>
  <si>
    <t>91.2</t>
  </si>
  <si>
    <t>1200</t>
  </si>
  <si>
    <t>0.1</t>
  </si>
  <si>
    <t>40.38</t>
  </si>
  <si>
    <t>360</t>
  </si>
  <si>
    <t>228.54</t>
  </si>
  <si>
    <t>152.18</t>
  </si>
  <si>
    <t>5.91</t>
  </si>
  <si>
    <t>10.9</t>
  </si>
  <si>
    <t>34.9</t>
  </si>
  <si>
    <t>6.3</t>
  </si>
  <si>
    <t>7.46</t>
  </si>
  <si>
    <t>32.8</t>
  </si>
  <si>
    <t>84.9</t>
  </si>
  <si>
    <t>672</t>
  </si>
  <si>
    <t>25.73</t>
  </si>
  <si>
    <t>800</t>
  </si>
  <si>
    <t>384.12</t>
  </si>
  <si>
    <t>134.19</t>
  </si>
  <si>
    <t>27</t>
  </si>
  <si>
    <t>B-B 18</t>
  </si>
  <si>
    <t xml:space="preserve">Died Early </t>
  </si>
  <si>
    <t>5.82</t>
  </si>
  <si>
    <t>38</t>
  </si>
  <si>
    <t>9.3</t>
  </si>
  <si>
    <t>21.6</t>
  </si>
  <si>
    <t>4.46</t>
  </si>
  <si>
    <t>38.5</t>
  </si>
  <si>
    <t>112</t>
  </si>
  <si>
    <t>4.96</t>
  </si>
  <si>
    <t>11</t>
  </si>
  <si>
    <t>31.7</t>
  </si>
  <si>
    <t>8.8</t>
  </si>
  <si>
    <t>5.37</t>
  </si>
  <si>
    <t>12.2</t>
  </si>
  <si>
    <t>151</t>
  </si>
  <si>
    <t>B-B 19</t>
  </si>
  <si>
    <t>1</t>
  </si>
  <si>
    <t>7.474</t>
  </si>
  <si>
    <t>38.2</t>
  </si>
  <si>
    <t>87.3</t>
  </si>
  <si>
    <t>348</t>
  </si>
  <si>
    <t>0.2</t>
  </si>
  <si>
    <t>11.61</t>
  </si>
  <si>
    <t>238</t>
  </si>
  <si>
    <t>128.81</t>
  </si>
  <si>
    <t>153.1</t>
  </si>
  <si>
    <t>16</t>
  </si>
  <si>
    <t>7.37</t>
  </si>
  <si>
    <t>31.5</t>
  </si>
  <si>
    <t>98.4</t>
  </si>
  <si>
    <t>97</t>
  </si>
  <si>
    <t>7.354</t>
  </si>
  <si>
    <t>34</t>
  </si>
  <si>
    <t>67.1</t>
  </si>
  <si>
    <t>98</t>
  </si>
  <si>
    <t>291</t>
  </si>
  <si>
    <t>218</t>
  </si>
  <si>
    <t>277.95</t>
  </si>
  <si>
    <t>397.07</t>
  </si>
  <si>
    <t>8.7</t>
  </si>
  <si>
    <t>7.377</t>
  </si>
  <si>
    <t>36.4</t>
  </si>
  <si>
    <t>94</t>
  </si>
  <si>
    <t>4.3</t>
  </si>
  <si>
    <t>7.457</t>
  </si>
  <si>
    <t>92.8</t>
  </si>
  <si>
    <t>2.9</t>
  </si>
  <si>
    <t>7.483</t>
  </si>
  <si>
    <t>39.6</t>
  </si>
  <si>
    <t>88.3</t>
  </si>
  <si>
    <t>89</t>
  </si>
  <si>
    <t>7.521</t>
  </si>
  <si>
    <t>2.6</t>
  </si>
  <si>
    <t>7.508</t>
  </si>
  <si>
    <t>85.4</t>
  </si>
  <si>
    <t>304</t>
  </si>
  <si>
    <t>826</t>
  </si>
  <si>
    <t>15.87</t>
  </si>
  <si>
    <t>236</t>
  </si>
  <si>
    <t>221.79</t>
  </si>
  <si>
    <t>146.86</t>
  </si>
  <si>
    <t>6</t>
  </si>
  <si>
    <t>7.515</t>
  </si>
  <si>
    <t>89.1</t>
  </si>
  <si>
    <t>413</t>
  </si>
  <si>
    <t>258</t>
  </si>
  <si>
    <t>686</t>
  </si>
  <si>
    <t>23.1</t>
  </si>
  <si>
    <t>347</t>
  </si>
  <si>
    <t>456.33</t>
  </si>
  <si>
    <t>189.47</t>
  </si>
  <si>
    <t>82.9</t>
  </si>
  <si>
    <t>389</t>
  </si>
  <si>
    <t>286</t>
  </si>
  <si>
    <t>671</t>
  </si>
  <si>
    <t>26.01</t>
  </si>
  <si>
    <t>455</t>
  </si>
  <si>
    <t>609</t>
  </si>
  <si>
    <t>161.43</t>
  </si>
  <si>
    <t>B-B 20</t>
  </si>
  <si>
    <t>Non-stop screaming</t>
  </si>
  <si>
    <t>176/95</t>
  </si>
  <si>
    <t>B-B 21</t>
  </si>
  <si>
    <t>B-B 22</t>
  </si>
  <si>
    <t>75</t>
  </si>
  <si>
    <t>6.11</t>
  </si>
  <si>
    <t>12.6</t>
  </si>
  <si>
    <t>261</t>
  </si>
  <si>
    <t>22</t>
  </si>
  <si>
    <t>115</t>
  </si>
  <si>
    <t>12.11</t>
  </si>
  <si>
    <t>314</t>
  </si>
  <si>
    <t>152.02</t>
  </si>
  <si>
    <t>175.17</t>
  </si>
  <si>
    <t>75.5</t>
  </si>
  <si>
    <t>68.8</t>
  </si>
  <si>
    <t>52</t>
  </si>
  <si>
    <t>212</t>
  </si>
  <si>
    <t>45</t>
  </si>
  <si>
    <t>17.21</t>
  </si>
  <si>
    <t>287</t>
  </si>
  <si>
    <t>133.88</t>
  </si>
  <si>
    <t>383.38</t>
  </si>
  <si>
    <t>2</t>
  </si>
  <si>
    <t>63.4</t>
  </si>
  <si>
    <t>67.4</t>
  </si>
  <si>
    <t>4.92</t>
  </si>
  <si>
    <t>30.9</t>
  </si>
  <si>
    <t>193</t>
  </si>
  <si>
    <t>42</t>
  </si>
  <si>
    <t>55</t>
  </si>
  <si>
    <t>148</t>
  </si>
  <si>
    <t>16.42</t>
  </si>
  <si>
    <t>315</t>
  </si>
  <si>
    <t>159.1</t>
  </si>
  <si>
    <t>382.49</t>
  </si>
  <si>
    <t>1.8</t>
  </si>
  <si>
    <t>64.9</t>
  </si>
  <si>
    <t>70.8</t>
  </si>
  <si>
    <t>28.8</t>
  </si>
  <si>
    <t>178</t>
  </si>
  <si>
    <t>3.7</t>
  </si>
  <si>
    <t>243</t>
  </si>
  <si>
    <t>16.83</t>
  </si>
  <si>
    <t>299</t>
  </si>
  <si>
    <t>237.76</t>
  </si>
  <si>
    <t>143.8</t>
  </si>
  <si>
    <t>73.4</t>
  </si>
  <si>
    <t>5.11</t>
  </si>
  <si>
    <t>32.1</t>
  </si>
  <si>
    <t>253</t>
  </si>
  <si>
    <t>83</t>
  </si>
  <si>
    <t>121</t>
  </si>
  <si>
    <t>73</t>
  </si>
  <si>
    <t>10.61</t>
  </si>
  <si>
    <t>477</t>
  </si>
  <si>
    <t>324.13</t>
  </si>
  <si>
    <t>158.04</t>
  </si>
  <si>
    <t>76.6</t>
  </si>
  <si>
    <t>B-B 23</t>
  </si>
  <si>
    <t>B-B 24</t>
  </si>
  <si>
    <t>5.52</t>
  </si>
  <si>
    <t>16.03</t>
  </si>
  <si>
    <t>274</t>
  </si>
  <si>
    <t>73.63</t>
  </si>
  <si>
    <t>154.2</t>
  </si>
  <si>
    <t>69.2</t>
  </si>
  <si>
    <t>64.1</t>
  </si>
  <si>
    <t>25</t>
  </si>
  <si>
    <t>21.3</t>
  </si>
  <si>
    <t>152</t>
  </si>
  <si>
    <t>14.6</t>
  </si>
  <si>
    <t>215</t>
  </si>
  <si>
    <t>19.32</t>
  </si>
  <si>
    <t>191.47</t>
  </si>
  <si>
    <t>453.88</t>
  </si>
  <si>
    <t>1.7</t>
  </si>
  <si>
    <t>66.2</t>
  </si>
  <si>
    <t>63.6</t>
  </si>
  <si>
    <t>4.05</t>
  </si>
  <si>
    <t>9.2</t>
  </si>
  <si>
    <t>27.9</t>
  </si>
  <si>
    <t>132</t>
  </si>
  <si>
    <t>63</t>
  </si>
  <si>
    <t>166</t>
  </si>
  <si>
    <t>19.08</t>
  </si>
  <si>
    <t>276</t>
  </si>
  <si>
    <t>166.27</t>
  </si>
  <si>
    <t>480.85</t>
  </si>
  <si>
    <t>65.2</t>
  </si>
  <si>
    <t>4.9</t>
  </si>
  <si>
    <t>3.8</t>
  </si>
  <si>
    <t>67</t>
  </si>
  <si>
    <t>33.6</t>
  </si>
  <si>
    <t>163</t>
  </si>
  <si>
    <t>280</t>
  </si>
  <si>
    <t>17.84</t>
  </si>
  <si>
    <t>352</t>
  </si>
  <si>
    <t>223.43</t>
  </si>
  <si>
    <t>165.69</t>
  </si>
  <si>
    <t>1 HR</t>
  </si>
  <si>
    <t>4.77</t>
  </si>
  <si>
    <t>10.8</t>
  </si>
  <si>
    <t>32.6</t>
  </si>
  <si>
    <t>217</t>
  </si>
  <si>
    <t>207</t>
  </si>
  <si>
    <t>146</t>
  </si>
  <si>
    <t>189</t>
  </si>
  <si>
    <t>17.87</t>
  </si>
  <si>
    <t>339</t>
  </si>
  <si>
    <t>180.57</t>
  </si>
  <si>
    <t>164.66</t>
  </si>
  <si>
    <t>3.2</t>
  </si>
  <si>
    <t>57.6</t>
  </si>
  <si>
    <t>74.1</t>
  </si>
  <si>
    <t>B-B 25</t>
  </si>
  <si>
    <t>B-B 26</t>
  </si>
  <si>
    <t>5.92</t>
  </si>
  <si>
    <t>237</t>
  </si>
  <si>
    <t>17.83</t>
  </si>
  <si>
    <t>296</t>
  </si>
  <si>
    <t>50.38</t>
  </si>
  <si>
    <t>84.21</t>
  </si>
  <si>
    <t>70.3</t>
  </si>
  <si>
    <t>67.5</t>
  </si>
  <si>
    <t>3.14</t>
  </si>
  <si>
    <t>230</t>
  </si>
  <si>
    <t>7.9</t>
  </si>
  <si>
    <t>161</t>
  </si>
  <si>
    <t>20.4</t>
  </si>
  <si>
    <t>131.91</t>
  </si>
  <si>
    <t>388.95</t>
  </si>
  <si>
    <t>73.1</t>
  </si>
  <si>
    <t>69.9</t>
  </si>
  <si>
    <t>3.87</t>
  </si>
  <si>
    <t>24.8</t>
  </si>
  <si>
    <t>41</t>
  </si>
  <si>
    <t>19.46</t>
  </si>
  <si>
    <t>242</t>
  </si>
  <si>
    <t>136.18</t>
  </si>
  <si>
    <t>379.27</t>
  </si>
  <si>
    <t>71.1</t>
  </si>
  <si>
    <t>10:58A</t>
  </si>
  <si>
    <t>4.26</t>
  </si>
  <si>
    <t>226</t>
  </si>
  <si>
    <t>172</t>
  </si>
  <si>
    <t>16.58</t>
  </si>
  <si>
    <t>301</t>
  </si>
  <si>
    <t>186.52</t>
  </si>
  <si>
    <t>170.33</t>
  </si>
  <si>
    <t>1H</t>
  </si>
  <si>
    <t>4.54</t>
  </si>
  <si>
    <t>9.8</t>
  </si>
  <si>
    <t>86</t>
  </si>
  <si>
    <t>13.32</t>
  </si>
  <si>
    <t>94.32</t>
  </si>
  <si>
    <t>164.6</t>
  </si>
  <si>
    <t>50.9</t>
  </si>
  <si>
    <t>74.9</t>
  </si>
  <si>
    <t>B-B 27</t>
  </si>
  <si>
    <t>6.24</t>
  </si>
  <si>
    <t>13.4</t>
  </si>
  <si>
    <t>319</t>
  </si>
  <si>
    <t>14</t>
  </si>
  <si>
    <t>15.51</t>
  </si>
  <si>
    <t>396</t>
  </si>
  <si>
    <t>66.89</t>
  </si>
  <si>
    <t>225.38</t>
  </si>
  <si>
    <t>69.7</t>
  </si>
  <si>
    <t>3.77</t>
  </si>
  <si>
    <t>24.5</t>
  </si>
  <si>
    <t>79</t>
  </si>
  <si>
    <t>17.75</t>
  </si>
  <si>
    <t>234</t>
  </si>
  <si>
    <t>152.5</t>
  </si>
  <si>
    <t>474.82</t>
  </si>
  <si>
    <t>69.3</t>
  </si>
  <si>
    <t>69.5</t>
  </si>
  <si>
    <t>4.65</t>
  </si>
  <si>
    <t>30.2</t>
  </si>
  <si>
    <t>223</t>
  </si>
  <si>
    <t>72</t>
  </si>
  <si>
    <t>16.87</t>
  </si>
  <si>
    <t>277</t>
  </si>
  <si>
    <t>152.93</t>
  </si>
  <si>
    <t>442.64</t>
  </si>
  <si>
    <t>38.8</t>
  </si>
  <si>
    <t>4.57</t>
  </si>
  <si>
    <t>29.4</t>
  </si>
  <si>
    <t>138</t>
  </si>
  <si>
    <t>17.24</t>
  </si>
  <si>
    <t>283</t>
  </si>
  <si>
    <t>126.46</t>
  </si>
  <si>
    <t>152.72</t>
  </si>
  <si>
    <t>73.2</t>
  </si>
  <si>
    <t>5.73</t>
  </si>
  <si>
    <t>10.91</t>
  </si>
  <si>
    <t>88.34</t>
  </si>
  <si>
    <t>142.8</t>
  </si>
  <si>
    <t>72.4</t>
  </si>
  <si>
    <t>75.6</t>
  </si>
  <si>
    <t>B-B 28</t>
  </si>
  <si>
    <t>4.5</t>
  </si>
  <si>
    <t>4.45</t>
  </si>
  <si>
    <t>9.4</t>
  </si>
  <si>
    <t>28.5</t>
  </si>
  <si>
    <t>349</t>
  </si>
  <si>
    <t>17.49</t>
  </si>
  <si>
    <t>254</t>
  </si>
  <si>
    <t>185.16</t>
  </si>
  <si>
    <t>5.64</t>
  </si>
  <si>
    <t>11.9</t>
  </si>
  <si>
    <t>36.2</t>
  </si>
  <si>
    <t>268</t>
  </si>
  <si>
    <t>19</t>
  </si>
  <si>
    <t>93</t>
  </si>
  <si>
    <t>16.57</t>
  </si>
  <si>
    <t>220</t>
  </si>
  <si>
    <t>70.89</t>
  </si>
  <si>
    <t>195.01</t>
  </si>
  <si>
    <t>76.8</t>
  </si>
  <si>
    <t>3.26</t>
  </si>
  <si>
    <t>159</t>
  </si>
  <si>
    <t>15</t>
  </si>
  <si>
    <t>128</t>
  </si>
  <si>
    <t>21.57</t>
  </si>
  <si>
    <t>194</t>
  </si>
  <si>
    <t>191.69</t>
  </si>
  <si>
    <t>388.12</t>
  </si>
  <si>
    <t>67.2</t>
  </si>
  <si>
    <t>65.7</t>
  </si>
  <si>
    <t>88</t>
  </si>
  <si>
    <t>4.56</t>
  </si>
  <si>
    <t>29.2</t>
  </si>
  <si>
    <t>278</t>
  </si>
  <si>
    <t>156</t>
  </si>
  <si>
    <t>267</t>
  </si>
  <si>
    <t>21.28</t>
  </si>
  <si>
    <t>219</t>
  </si>
  <si>
    <t>191.53</t>
  </si>
  <si>
    <t>388.54</t>
  </si>
  <si>
    <t>6.19</t>
  </si>
  <si>
    <t>12.8</t>
  </si>
  <si>
    <t>187</t>
  </si>
  <si>
    <t>474</t>
  </si>
  <si>
    <t>414</t>
  </si>
  <si>
    <t>21.9</t>
  </si>
  <si>
    <t>164.2</t>
  </si>
  <si>
    <t>156.61</t>
  </si>
  <si>
    <t>51.1</t>
  </si>
  <si>
    <t>71.4</t>
  </si>
  <si>
    <t>69.4</t>
  </si>
  <si>
    <t>74.5</t>
  </si>
  <si>
    <t>B-B 29</t>
  </si>
  <si>
    <t>11.67</t>
  </si>
  <si>
    <t>5.26</t>
  </si>
  <si>
    <t>10.7</t>
  </si>
  <si>
    <t>32.5</t>
  </si>
  <si>
    <t>72.2</t>
  </si>
  <si>
    <t>370</t>
  </si>
  <si>
    <t>13.92</t>
  </si>
  <si>
    <t>302</t>
  </si>
  <si>
    <t>114.92</t>
  </si>
  <si>
    <t>149.14</t>
  </si>
  <si>
    <t>3.88</t>
  </si>
  <si>
    <t>24.2</t>
  </si>
  <si>
    <t>19.16</t>
  </si>
  <si>
    <t>263</t>
  </si>
  <si>
    <t>136.97</t>
  </si>
  <si>
    <t>402.93</t>
  </si>
  <si>
    <t>4.98</t>
  </si>
  <si>
    <t>5.35</t>
  </si>
  <si>
    <t>33.3</t>
  </si>
  <si>
    <t>2.8</t>
  </si>
  <si>
    <t>59.7</t>
  </si>
  <si>
    <t>77.2</t>
  </si>
  <si>
    <t>B-B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</si>
</sst>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  <font>
      <b/>
      <sz val="11"/>
      <color theme="1"/>
      <name val="Aptos Narrow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3" borderId="11" xfId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11" xfId="1" applyFont="1" applyFill="1" applyBorder="1" applyAlignment="1" applyProtection="1">
      <alignment horizontal="center" vertical="center"/>
      <protection locked="0"/>
    </xf>
    <xf numFmtId="49" fontId="6" fillId="0" borderId="12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7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49" fontId="6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/>
    <xf numFmtId="0" fontId="5" fillId="2" borderId="13" xfId="0" applyFont="1" applyFill="1" applyBorder="1" applyAlignment="1" applyProtection="1">
      <alignment horizontal="center"/>
      <protection locked="0"/>
    </xf>
    <xf numFmtId="9" fontId="5" fillId="2" borderId="10" xfId="0" applyNumberFormat="1" applyFont="1" applyFill="1" applyBorder="1" applyAlignment="1" applyProtection="1">
      <alignment horizontal="center"/>
      <protection locked="0"/>
    </xf>
    <xf numFmtId="9" fontId="5" fillId="2" borderId="14" xfId="0" applyNumberFormat="1" applyFont="1" applyFill="1" applyBorder="1" applyAlignment="1" applyProtection="1">
      <alignment horizontal="center"/>
      <protection locked="0"/>
    </xf>
    <xf numFmtId="2" fontId="0" fillId="0" borderId="0" xfId="0" applyNumberFormat="1"/>
    <xf numFmtId="10" fontId="12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 applyProtection="1">
      <alignment horizontal="center" vertical="center"/>
      <protection locked="0"/>
    </xf>
    <xf numFmtId="0" fontId="5" fillId="6" borderId="17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5" fillId="2" borderId="8" xfId="0" applyFont="1" applyFill="1" applyBorder="1" applyAlignment="1" applyProtection="1">
      <alignment horizontal="center" wrapText="1"/>
      <protection locked="0"/>
    </xf>
    <xf numFmtId="164" fontId="5" fillId="2" borderId="7" xfId="0" applyNumberFormat="1" applyFont="1" applyFill="1" applyBorder="1" applyAlignment="1" applyProtection="1">
      <alignment horizontal="center"/>
      <protection locked="0"/>
    </xf>
    <xf numFmtId="164" fontId="5" fillId="2" borderId="8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/>
      <protection locked="0"/>
    </xf>
    <xf numFmtId="14" fontId="5" fillId="2" borderId="1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5" fillId="2" borderId="15" xfId="0" applyFont="1" applyFill="1" applyBorder="1" applyAlignment="1" applyProtection="1">
      <alignment horizontal="center"/>
      <protection locked="0"/>
    </xf>
    <xf numFmtId="0" fontId="5" fillId="2" borderId="16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2">
    <cellStyle name="Normal" xfId="0" builtinId="0"/>
    <cellStyle name="Normal 2" xfId="1" xr:uid="{C22F9E2F-05F1-45DD-8B31-04B2513AB363}"/>
  </cellStyles>
  <dxfs count="60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evil, Madeleine" id="{254293D9-C45C-884A-AED6-C9F5220F639E}" userId="S::MAntevil@som.umaryland.edu::7c4d2acc-deb0-45de-b61f-af2cc90ccb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8-04T15:20:49.76" personId="{254293D9-C45C-884A-AED6-C9F5220F639E}" id="{DAAA0D85-AAFF-A748-A80B-9B89109D7D94}">
    <text>ask tony where to find this number- inconsistencies on chart</text>
  </threadedComment>
  <threadedComment ref="B7" dT="2026-08-04T15:21:01.17" personId="{254293D9-C45C-884A-AED6-C9F5220F639E}" id="{8AA02D07-14BC-BB44-A292-DDFDC0314622}" parentId="{DAAA0D85-AAFF-A748-A80B-9B89109D7D94}">
    <text>or find physical folder</text>
  </threadedComment>
  <threadedComment ref="F12" dT="2026-08-04T15:22:50.56" personId="{254293D9-C45C-884A-AED6-C9F5220F639E}" id="{F27A85E7-BEC5-8948-B339-F1C59B0CFBC6}">
    <text>don't have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6-08-04T16:10:41.95" personId="{254293D9-C45C-884A-AED6-C9F5220F639E}" id="{6DBFBE56-B032-F64D-B8FC-B4EE50FC1763}">
    <text>verify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" dT="2026-08-04T16:13:01.81" personId="{254293D9-C45C-884A-AED6-C9F5220F639E}" id="{7E5B4092-C512-D148-A262-486641F28AF0}">
    <text>no 72 Hr Time point- maybe died. No note to exclude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O17" dT="2026-08-04T16:42:40.80" personId="{254293D9-C45C-884A-AED6-C9F5220F639E}" id="{E04C0FEC-4DEA-4346-B64C-B0BEFC502312}">
    <text>unclear scan on ABG</text>
  </threadedComment>
  <threadedComment ref="N21" dT="2026-08-04T16:44:03.30" personId="{254293D9-C45C-884A-AED6-C9F5220F639E}" id="{C7B5374C-20DE-D847-B88D-F688FD142388}">
    <text>"?" no lac reading on ABG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6-08-04T17:05:12.40" personId="{254293D9-C45C-884A-AED6-C9F5220F639E}" id="{A64D07E1-C17D-2F48-B4BE-3BF0A47BCA24}">
    <text>need to get from folder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6" dT="2026-08-05T18:27:16.15" personId="{254293D9-C45C-884A-AED6-C9F5220F639E}" id="{892D4D97-5800-A94D-BCE3-921A25BD17F6}">
    <text>need to get from folder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4" dT="2026-08-04T17:50:23.66" personId="{254293D9-C45C-884A-AED6-C9F5220F639E}" id="{B9AB484A-63A7-B149-B1F0-974DC8F3F285}">
    <text>need to check</text>
  </threadedComment>
  <threadedComment ref="B6" dT="2026-08-04T17:49:20.79" personId="{254293D9-C45C-884A-AED6-C9F5220F639E}" id="{F06A5B03-FEC5-F545-8410-9ED7E84C163C}">
    <text>need to find physical chart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6-08-05T14:47:44.98" personId="{254293D9-C45C-884A-AED6-C9F5220F639E}" id="{1AE27E91-125B-3541-BF57-B056A4EE38C0}">
    <text>don't have scanned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6-08-05T14:47:18.35" personId="{254293D9-C45C-884A-AED6-C9F5220F639E}" id="{ACCC5424-2C1C-1B4E-A9F1-4A46E2FC696D}">
    <text>Don't have scanned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G16" dT="2026-08-05T14:46:32.47" personId="{254293D9-C45C-884A-AED6-C9F5220F639E}" id="{44085B63-3AE4-7747-BC0C-4A876C8E2293}">
    <text>"view curve" = no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8554-7A43-4F75-BA49-4F17D2CF2FCE}">
  <dimension ref="A1:AZ28"/>
  <sheetViews>
    <sheetView workbookViewId="0">
      <selection activeCell="F23" sqref="F23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8" width="11.7109375" bestFit="1" customWidth="1"/>
    <col min="9" max="9" width="18.7109375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3</v>
      </c>
      <c r="C4" s="53"/>
      <c r="D4" s="5"/>
      <c r="E4" s="4" t="s">
        <v>4</v>
      </c>
      <c r="F4" s="54" t="s">
        <v>5</v>
      </c>
      <c r="G4" s="55"/>
      <c r="H4" s="3"/>
      <c r="I4" s="44" t="s">
        <v>6</v>
      </c>
      <c r="J4" s="45">
        <f>B5*70</f>
        <v>131.6</v>
      </c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7</v>
      </c>
      <c r="B5" s="52">
        <v>1.88</v>
      </c>
      <c r="C5" s="53"/>
      <c r="D5" s="5"/>
      <c r="E5" s="4" t="s">
        <v>8</v>
      </c>
      <c r="F5" s="56"/>
      <c r="G5" s="57"/>
      <c r="H5" s="3"/>
      <c r="I5" s="44" t="s">
        <v>9</v>
      </c>
      <c r="J5" s="45">
        <f>J4*0.4</f>
        <v>52.64</v>
      </c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44943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52.64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52.64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7590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0.3125</v>
      </c>
      <c r="C15" s="14" t="s">
        <v>97</v>
      </c>
      <c r="D15" s="14">
        <v>90</v>
      </c>
      <c r="E15" s="14">
        <v>202</v>
      </c>
      <c r="F15" s="14"/>
      <c r="G15" s="28">
        <v>5.41</v>
      </c>
      <c r="H15" s="28">
        <v>10.8</v>
      </c>
      <c r="I15" s="18">
        <v>33.700000000000003</v>
      </c>
      <c r="J15" s="18">
        <v>35</v>
      </c>
      <c r="K15" s="18">
        <v>5.7</v>
      </c>
      <c r="L15" s="18"/>
      <c r="M15" s="35">
        <f>(L15/(((H15*10)/64500)*10^6))*100</f>
        <v>0</v>
      </c>
      <c r="N15" s="30">
        <v>0.6</v>
      </c>
      <c r="O15" s="30">
        <v>7.53</v>
      </c>
      <c r="P15" s="30">
        <v>35.1</v>
      </c>
      <c r="Q15" s="30">
        <v>72.599999999999994</v>
      </c>
      <c r="R15" s="18">
        <v>30</v>
      </c>
      <c r="S15" s="31">
        <v>70</v>
      </c>
      <c r="T15" s="18">
        <v>77</v>
      </c>
      <c r="U15" s="18">
        <v>0.9</v>
      </c>
      <c r="V15" s="18">
        <v>10.16</v>
      </c>
      <c r="W15" s="18">
        <v>276</v>
      </c>
      <c r="X15" s="18">
        <v>108.61</v>
      </c>
      <c r="Y15" s="18">
        <v>154.28</v>
      </c>
      <c r="Z15" s="18">
        <v>10</v>
      </c>
      <c r="AA15" s="18"/>
      <c r="AB15" s="18"/>
      <c r="AC15" s="18"/>
      <c r="AD15" s="18"/>
      <c r="AE15" s="18">
        <v>139.9</v>
      </c>
      <c r="AF15" s="32">
        <v>18.2</v>
      </c>
      <c r="AG15" s="32">
        <v>17.100000000000001</v>
      </c>
      <c r="AH15" s="32">
        <v>2.0099999999999998</v>
      </c>
    </row>
    <row r="16" spans="1:52" ht="15.95">
      <c r="A16" s="16" t="s">
        <v>98</v>
      </c>
      <c r="B16" s="27">
        <v>0.44236111111111109</v>
      </c>
      <c r="C16" s="14" t="s">
        <v>97</v>
      </c>
      <c r="D16" s="14">
        <v>64</v>
      </c>
      <c r="E16" s="14">
        <v>178</v>
      </c>
      <c r="G16" s="18">
        <v>3.45</v>
      </c>
      <c r="H16" s="18">
        <v>6.9</v>
      </c>
      <c r="I16" s="18">
        <v>21.2</v>
      </c>
      <c r="J16" s="18">
        <v>132</v>
      </c>
      <c r="K16" s="18">
        <v>6.9</v>
      </c>
      <c r="L16" s="18"/>
      <c r="M16" s="35">
        <f t="shared" ref="M16:M25" si="0">(L16/(((H16*10)/64500)*10^6))*100</f>
        <v>0</v>
      </c>
      <c r="N16" s="30">
        <v>4.8</v>
      </c>
      <c r="O16" s="30">
        <v>7.5039999999999996</v>
      </c>
      <c r="P16" s="30">
        <v>35.700000000000003</v>
      </c>
      <c r="Q16" s="30">
        <v>93.3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0.44930555555555557</v>
      </c>
      <c r="C17" s="14" t="s">
        <v>97</v>
      </c>
      <c r="D17" s="14">
        <v>67</v>
      </c>
      <c r="E17" s="14">
        <v>174</v>
      </c>
      <c r="F17" s="14"/>
      <c r="G17" s="18">
        <v>3.93</v>
      </c>
      <c r="H17" s="18">
        <v>7.8</v>
      </c>
      <c r="I17" s="18">
        <v>24.3</v>
      </c>
      <c r="J17" s="18">
        <v>197</v>
      </c>
      <c r="K17" s="18">
        <v>5.5</v>
      </c>
      <c r="L17" s="18"/>
      <c r="M17" s="35">
        <f t="shared" si="0"/>
        <v>0</v>
      </c>
      <c r="N17" s="30">
        <v>3.8</v>
      </c>
      <c r="O17" s="30">
        <v>7.4320000000000004</v>
      </c>
      <c r="P17" s="30">
        <v>43.2</v>
      </c>
      <c r="Q17" s="30">
        <v>66.2</v>
      </c>
      <c r="R17" s="18">
        <v>34</v>
      </c>
      <c r="S17" s="18">
        <v>60</v>
      </c>
      <c r="T17" s="18">
        <v>135</v>
      </c>
      <c r="U17" s="18">
        <v>0.6</v>
      </c>
      <c r="V17" s="18">
        <v>15.29</v>
      </c>
      <c r="W17" s="18">
        <v>224</v>
      </c>
      <c r="X17" s="18">
        <v>117.09</v>
      </c>
      <c r="Y17" s="18">
        <v>330.67</v>
      </c>
      <c r="Z17" s="18">
        <v>7</v>
      </c>
      <c r="AA17" s="18"/>
      <c r="AB17" s="18"/>
      <c r="AC17" s="18"/>
      <c r="AD17" s="18"/>
      <c r="AE17" s="18">
        <v>12.9</v>
      </c>
      <c r="AF17" s="32">
        <v>15.7</v>
      </c>
      <c r="AG17" s="32"/>
      <c r="AH17" s="32">
        <v>3.08</v>
      </c>
    </row>
    <row r="18" spans="1:34" ht="15.95">
      <c r="A18" s="34" t="s">
        <v>100</v>
      </c>
      <c r="B18" s="27">
        <v>0.4909722222222222</v>
      </c>
      <c r="C18" s="14" t="s">
        <v>97</v>
      </c>
      <c r="D18" s="14">
        <v>72</v>
      </c>
      <c r="E18" s="14">
        <v>233</v>
      </c>
      <c r="F18" s="14"/>
      <c r="G18" s="18"/>
      <c r="H18" s="18"/>
      <c r="I18" s="18"/>
      <c r="J18" s="18"/>
      <c r="K18" s="18"/>
      <c r="L18" s="18"/>
      <c r="M18" s="35" t="e">
        <f t="shared" si="0"/>
        <v>#DIV/0!</v>
      </c>
      <c r="N18" s="30">
        <v>1.1000000000000001</v>
      </c>
      <c r="O18" s="30">
        <v>7.5250000000000004</v>
      </c>
      <c r="P18" s="30">
        <v>44.1</v>
      </c>
      <c r="Q18" s="30">
        <v>69.8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0.53263888888888888</v>
      </c>
      <c r="C19" s="14" t="s">
        <v>97</v>
      </c>
      <c r="D19" s="14">
        <v>73</v>
      </c>
      <c r="E19" s="14">
        <v>233</v>
      </c>
      <c r="F19" s="14"/>
      <c r="G19" s="18"/>
      <c r="H19" s="18"/>
      <c r="I19" s="18"/>
      <c r="J19" s="18"/>
      <c r="K19" s="18"/>
      <c r="L19" s="18"/>
      <c r="M19" s="35" t="e">
        <f t="shared" si="0"/>
        <v>#DIV/0!</v>
      </c>
      <c r="N19" s="30">
        <v>0.8</v>
      </c>
      <c r="O19" s="30">
        <v>7.5190000000000001</v>
      </c>
      <c r="P19" s="30">
        <v>42.8</v>
      </c>
      <c r="Q19" s="30">
        <v>65.2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0.57430555555555551</v>
      </c>
      <c r="C20" s="14" t="s">
        <v>97</v>
      </c>
      <c r="D20" s="14">
        <v>70</v>
      </c>
      <c r="E20" s="14">
        <v>242</v>
      </c>
      <c r="F20" s="14"/>
      <c r="G20" s="18"/>
      <c r="H20" s="18"/>
      <c r="I20" s="18"/>
      <c r="J20" s="18"/>
      <c r="K20" s="18"/>
      <c r="L20" s="18"/>
      <c r="M20" s="35" t="e">
        <f t="shared" si="0"/>
        <v>#DIV/0!</v>
      </c>
      <c r="N20" s="30">
        <v>0.7</v>
      </c>
      <c r="O20" s="30">
        <v>7.51</v>
      </c>
      <c r="P20" s="30">
        <v>39.700000000000003</v>
      </c>
      <c r="Q20" s="30">
        <v>86.1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0.61597222222222225</v>
      </c>
      <c r="C21" s="14" t="s">
        <v>97</v>
      </c>
      <c r="D21" s="14">
        <v>70</v>
      </c>
      <c r="E21" s="14">
        <v>233</v>
      </c>
      <c r="F21" s="14"/>
      <c r="G21" s="18"/>
      <c r="H21" s="18"/>
      <c r="I21" s="18"/>
      <c r="J21" s="18"/>
      <c r="K21" s="18"/>
      <c r="L21" s="18"/>
      <c r="M21" s="35" t="e">
        <f>(L21/(((#REF!*10)/64500)*10^6))*100</f>
        <v>#REF!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0.62291666666666667</v>
      </c>
      <c r="C22" s="14" t="s">
        <v>97</v>
      </c>
      <c r="D22" s="14">
        <v>66</v>
      </c>
      <c r="E22" s="14">
        <v>230</v>
      </c>
      <c r="F22" s="14"/>
      <c r="G22" s="18">
        <v>4.5199999999999996</v>
      </c>
      <c r="H22" s="18">
        <v>8.8000000000000007</v>
      </c>
      <c r="I22" s="18">
        <v>28.2</v>
      </c>
      <c r="J22" s="18">
        <v>225</v>
      </c>
      <c r="K22" s="18">
        <v>5.4</v>
      </c>
      <c r="L22" s="18"/>
      <c r="M22" s="35" t="e">
        <f>(L22/(((H21*10)/64500)*10^6))*100</f>
        <v>#DIV/0!</v>
      </c>
      <c r="N22" s="30">
        <v>0.6</v>
      </c>
      <c r="O22" s="30">
        <v>7.4880000000000004</v>
      </c>
      <c r="P22" s="30">
        <v>38.700000000000003</v>
      </c>
      <c r="Q22" s="30">
        <v>79.400000000000006</v>
      </c>
      <c r="R22" s="18">
        <v>48</v>
      </c>
      <c r="S22" s="18">
        <v>70</v>
      </c>
      <c r="T22" s="18">
        <v>115</v>
      </c>
      <c r="U22" s="18">
        <v>0.6</v>
      </c>
      <c r="V22" s="18">
        <v>14.72</v>
      </c>
      <c r="W22" s="18">
        <v>258</v>
      </c>
      <c r="X22" s="18">
        <v>102.61</v>
      </c>
      <c r="Y22" s="18">
        <v>150.05000000000001</v>
      </c>
      <c r="Z22" s="18">
        <v>9</v>
      </c>
      <c r="AA22" s="9"/>
      <c r="AB22" s="9"/>
      <c r="AC22" s="9"/>
      <c r="AD22" s="9"/>
      <c r="AE22" s="9">
        <v>14.4</v>
      </c>
      <c r="AF22" s="9">
        <v>14.9</v>
      </c>
      <c r="AG22" s="32">
        <v>19.600000000000001</v>
      </c>
      <c r="AH22" s="32">
        <v>1.91</v>
      </c>
    </row>
    <row r="23" spans="1:34" ht="15.95">
      <c r="A23" s="16" t="s">
        <v>105</v>
      </c>
      <c r="B23" s="27">
        <v>0.44930555555555557</v>
      </c>
      <c r="C23" s="14" t="s">
        <v>97</v>
      </c>
      <c r="D23" s="14">
        <v>90</v>
      </c>
      <c r="E23" s="14">
        <v>275</v>
      </c>
      <c r="F23" s="14"/>
      <c r="G23" s="18">
        <v>4.28</v>
      </c>
      <c r="H23" s="18">
        <v>8.4</v>
      </c>
      <c r="I23" s="18">
        <v>26.5</v>
      </c>
      <c r="J23" s="18">
        <v>239</v>
      </c>
      <c r="K23" s="18">
        <v>8.1999999999999993</v>
      </c>
      <c r="L23" s="18"/>
      <c r="M23" s="35">
        <f t="shared" si="0"/>
        <v>0</v>
      </c>
      <c r="N23" s="30">
        <v>0.8</v>
      </c>
      <c r="O23" s="30">
        <v>7.5060000000000002</v>
      </c>
      <c r="P23" s="30">
        <v>33.299999999999997</v>
      </c>
      <c r="Q23" s="30">
        <v>89.6</v>
      </c>
      <c r="R23" s="18">
        <v>38</v>
      </c>
      <c r="S23" s="18">
        <v>95</v>
      </c>
      <c r="T23" s="18">
        <v>265</v>
      </c>
      <c r="U23" s="18">
        <v>0.6</v>
      </c>
      <c r="V23" s="18">
        <v>11.76</v>
      </c>
      <c r="W23" s="18">
        <v>357</v>
      </c>
      <c r="X23" s="18">
        <v>166.18</v>
      </c>
      <c r="Y23" s="18">
        <v>140.15</v>
      </c>
      <c r="Z23" s="18">
        <v>9</v>
      </c>
      <c r="AA23" s="9"/>
      <c r="AB23" s="9"/>
      <c r="AC23" s="9"/>
      <c r="AD23" s="9"/>
      <c r="AE23" s="9">
        <v>127.8</v>
      </c>
      <c r="AF23" s="9">
        <v>8.1999999999999993</v>
      </c>
      <c r="AG23" s="32">
        <v>15.7</v>
      </c>
      <c r="AH23" s="32">
        <v>2.72</v>
      </c>
    </row>
    <row r="24" spans="1:34" ht="15.95">
      <c r="A24" s="16" t="s">
        <v>106</v>
      </c>
      <c r="B24" s="27">
        <v>0.44930555555555557</v>
      </c>
      <c r="C24" s="14" t="s">
        <v>97</v>
      </c>
      <c r="D24" s="14">
        <v>88</v>
      </c>
      <c r="E24" s="14">
        <v>242</v>
      </c>
      <c r="F24" s="14"/>
      <c r="G24" s="18">
        <v>4.3899999999999997</v>
      </c>
      <c r="H24" s="18">
        <v>8.6999999999999993</v>
      </c>
      <c r="I24" s="18">
        <v>27.8</v>
      </c>
      <c r="J24" s="18">
        <v>273</v>
      </c>
      <c r="K24" s="18">
        <v>9.6999999999999993</v>
      </c>
      <c r="L24" s="18"/>
      <c r="M24" s="35">
        <f t="shared" si="0"/>
        <v>0</v>
      </c>
      <c r="N24" s="30">
        <v>3.3</v>
      </c>
      <c r="O24" s="30">
        <v>7.4409999999999998</v>
      </c>
      <c r="P24" s="30">
        <v>38.200000000000003</v>
      </c>
      <c r="Q24" s="30">
        <v>31.8</v>
      </c>
      <c r="R24" s="18">
        <v>16</v>
      </c>
      <c r="S24" s="18">
        <v>76</v>
      </c>
      <c r="T24" s="18">
        <v>185</v>
      </c>
      <c r="U24" s="18">
        <v>0.7</v>
      </c>
      <c r="V24" s="18">
        <v>10.83</v>
      </c>
      <c r="W24" s="18">
        <v>313</v>
      </c>
      <c r="X24" s="18">
        <v>122.34</v>
      </c>
      <c r="Y24" s="18">
        <v>126.97</v>
      </c>
      <c r="Z24" s="18">
        <v>10</v>
      </c>
      <c r="AA24" s="9"/>
      <c r="AB24" s="9"/>
      <c r="AC24" s="9"/>
      <c r="AD24" s="9"/>
      <c r="AE24" s="9">
        <v>89.2</v>
      </c>
      <c r="AF24" s="9">
        <v>29.6</v>
      </c>
      <c r="AG24" s="32"/>
      <c r="AH24" s="32">
        <v>3.84</v>
      </c>
    </row>
    <row r="25" spans="1:34" ht="15.95">
      <c r="A25" s="16" t="s">
        <v>107</v>
      </c>
      <c r="B25" s="27">
        <v>0.44930555555555557</v>
      </c>
      <c r="C25" s="14" t="s">
        <v>97</v>
      </c>
      <c r="D25" s="14">
        <v>95</v>
      </c>
      <c r="E25" s="14">
        <v>245</v>
      </c>
      <c r="F25" s="14"/>
      <c r="G25" s="18">
        <v>4.59</v>
      </c>
      <c r="H25" s="18">
        <v>9.4</v>
      </c>
      <c r="I25" s="18">
        <v>29.4</v>
      </c>
      <c r="J25" s="18">
        <v>223</v>
      </c>
      <c r="K25" s="18">
        <v>7.1</v>
      </c>
      <c r="L25" s="18"/>
      <c r="M25" s="35">
        <f t="shared" si="0"/>
        <v>0</v>
      </c>
      <c r="N25" s="30">
        <v>3</v>
      </c>
      <c r="O25" s="30">
        <v>7.5279999999999996</v>
      </c>
      <c r="P25" s="30">
        <v>32.700000000000003</v>
      </c>
      <c r="Q25" s="30">
        <v>198</v>
      </c>
      <c r="R25" s="18">
        <v>10</v>
      </c>
      <c r="S25" s="18">
        <v>57</v>
      </c>
      <c r="T25" s="18">
        <v>69</v>
      </c>
      <c r="U25" s="18">
        <v>0.5</v>
      </c>
      <c r="V25" s="18">
        <v>11.28</v>
      </c>
      <c r="W25" s="18">
        <v>296</v>
      </c>
      <c r="X25" s="18">
        <v>114.07</v>
      </c>
      <c r="Y25" s="18">
        <v>145.66999999999999</v>
      </c>
      <c r="Z25" s="18">
        <v>8</v>
      </c>
      <c r="AA25" s="9"/>
      <c r="AB25" s="9"/>
      <c r="AC25" s="9"/>
      <c r="AD25" s="9"/>
      <c r="AE25" s="9">
        <v>132.9</v>
      </c>
      <c r="AF25" s="9">
        <v>13</v>
      </c>
      <c r="AG25" s="32">
        <v>20.5</v>
      </c>
      <c r="AH25" s="32">
        <v>2.4300000000000002</v>
      </c>
    </row>
    <row r="26" spans="1:34" ht="15.95">
      <c r="A26" s="16" t="s">
        <v>108</v>
      </c>
      <c r="B26" s="27"/>
      <c r="C26" s="14" t="s">
        <v>97</v>
      </c>
      <c r="D26" s="14"/>
      <c r="E26" s="14"/>
      <c r="F26" s="14"/>
      <c r="G26" s="18"/>
      <c r="H26" s="18"/>
      <c r="I26" s="18"/>
      <c r="J26" s="18"/>
      <c r="K26" s="18"/>
      <c r="L26" s="18"/>
      <c r="M26" s="35" t="e">
        <f t="shared" ref="M26" si="1">(L26/(((H26*10)/64500)*10^6))*100</f>
        <v>#DIV/0!</v>
      </c>
      <c r="N26" s="30"/>
      <c r="O26" s="30"/>
      <c r="P26" s="30"/>
      <c r="Q26" s="30"/>
      <c r="R26" s="18"/>
      <c r="S26" s="18"/>
      <c r="T26" s="18"/>
      <c r="U26" s="18"/>
      <c r="V26" s="18"/>
      <c r="W26" s="18"/>
      <c r="X26" s="18"/>
      <c r="Y26" s="18"/>
      <c r="Z26" s="18"/>
      <c r="AA26" s="9"/>
      <c r="AB26" s="9"/>
      <c r="AC26" s="9"/>
      <c r="AD26" s="9"/>
      <c r="AE26" s="9"/>
      <c r="AF26" s="9"/>
      <c r="AG26" s="32"/>
      <c r="AH26" s="32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  <mergeCell ref="B9:C9"/>
  </mergeCells>
  <conditionalFormatting sqref="D11:AZ11">
    <cfRule type="cellIs" dxfId="59" priority="1" operator="equal">
      <formula>"incomplete"</formula>
    </cfRule>
    <cfRule type="cellIs" dxfId="5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0440D8F-E8F2-4F19-83F0-5553C5357965}">
      <formula1>"incomplete,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F8B-A3FC-4967-9825-E069491AF626}">
  <dimension ref="A1:AZ28"/>
  <sheetViews>
    <sheetView topLeftCell="AP1" workbookViewId="0">
      <selection activeCell="F7" sqref="F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8" width="11.7109375" bestFit="1" customWidth="1"/>
    <col min="9" max="9" width="14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109</v>
      </c>
      <c r="C4" s="53"/>
      <c r="D4" s="5"/>
      <c r="E4" s="4" t="s">
        <v>4</v>
      </c>
      <c r="F4" s="54" t="s">
        <v>110</v>
      </c>
      <c r="G4" s="55"/>
      <c r="H4" s="3"/>
      <c r="I4" s="44" t="s">
        <v>6</v>
      </c>
      <c r="J4" s="45">
        <f>B5*70</f>
        <v>127.4</v>
      </c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1.82</v>
      </c>
      <c r="C5" s="53"/>
      <c r="D5" s="5"/>
      <c r="E5" s="4" t="s">
        <v>8</v>
      </c>
      <c r="F5" s="56"/>
      <c r="G5" s="57"/>
      <c r="H5" s="3"/>
      <c r="I5" s="44" t="s">
        <v>9</v>
      </c>
      <c r="J5" s="45">
        <f>J4*0.4</f>
        <v>50.960000000000008</v>
      </c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44943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50.96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50.96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7594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0.32291666666666669</v>
      </c>
      <c r="C15" s="14" t="s">
        <v>97</v>
      </c>
      <c r="D15" s="14">
        <v>75</v>
      </c>
      <c r="E15" s="14">
        <v>260</v>
      </c>
      <c r="F15" s="14"/>
      <c r="G15" s="28">
        <v>5.81</v>
      </c>
      <c r="H15" s="28">
        <v>11.1</v>
      </c>
      <c r="I15" s="18">
        <v>35.700000000000003</v>
      </c>
      <c r="J15" s="18">
        <v>51</v>
      </c>
      <c r="K15" s="18">
        <v>7.8</v>
      </c>
      <c r="L15" s="18"/>
      <c r="M15" s="29">
        <f>L15/(64.5*H15)</f>
        <v>0</v>
      </c>
      <c r="N15" s="30">
        <v>1.7</v>
      </c>
      <c r="O15" s="30">
        <v>7.4580000000000002</v>
      </c>
      <c r="P15" s="30">
        <v>35.700000000000003</v>
      </c>
      <c r="Q15" s="30">
        <v>87.6</v>
      </c>
      <c r="R15" s="18">
        <v>56</v>
      </c>
      <c r="S15" s="31">
        <v>62</v>
      </c>
      <c r="T15" s="18">
        <v>173</v>
      </c>
      <c r="U15" s="18">
        <v>0.5</v>
      </c>
      <c r="V15" s="18">
        <v>11.28</v>
      </c>
      <c r="W15" s="18">
        <v>265</v>
      </c>
      <c r="X15" s="18">
        <v>141.15</v>
      </c>
      <c r="Y15" s="18">
        <v>162.94</v>
      </c>
      <c r="Z15" s="18">
        <v>9</v>
      </c>
      <c r="AA15" s="18"/>
      <c r="AB15" s="18"/>
      <c r="AC15" s="18"/>
      <c r="AD15" s="18"/>
      <c r="AE15" s="18">
        <v>140.30000000000001</v>
      </c>
      <c r="AF15" s="32">
        <v>18.899999999999999</v>
      </c>
      <c r="AG15" s="32">
        <v>15.6</v>
      </c>
      <c r="AH15" s="32">
        <v>2.04</v>
      </c>
    </row>
    <row r="16" spans="1:52" ht="15.95">
      <c r="A16" s="16" t="s">
        <v>98</v>
      </c>
      <c r="B16" s="27">
        <v>0.43263888888888891</v>
      </c>
      <c r="C16" s="14" t="s">
        <v>97</v>
      </c>
      <c r="D16" s="14">
        <v>65</v>
      </c>
      <c r="E16" s="14">
        <v>256</v>
      </c>
      <c r="F16" s="14"/>
      <c r="G16" s="18">
        <v>3.49</v>
      </c>
      <c r="H16" s="18">
        <v>6.7</v>
      </c>
      <c r="I16" s="18">
        <v>21.2</v>
      </c>
      <c r="J16" s="18">
        <v>216</v>
      </c>
      <c r="K16" s="18">
        <v>7.5</v>
      </c>
      <c r="L16" s="18"/>
      <c r="M16" s="29">
        <f t="shared" ref="M16:M24" si="0">L16/(64.5*H16)</f>
        <v>0</v>
      </c>
      <c r="N16" s="30">
        <v>7.9</v>
      </c>
      <c r="O16" s="30">
        <v>7.383</v>
      </c>
      <c r="P16" s="30">
        <v>38.9</v>
      </c>
      <c r="Q16" s="30">
        <v>88.5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0.43958333333333333</v>
      </c>
      <c r="C17" s="14" t="s">
        <v>97</v>
      </c>
      <c r="D17" s="14">
        <v>80</v>
      </c>
      <c r="E17" s="14">
        <v>237</v>
      </c>
      <c r="F17" s="14"/>
      <c r="G17" s="18">
        <v>4.25</v>
      </c>
      <c r="H17" s="18">
        <v>8</v>
      </c>
      <c r="I17" s="18">
        <v>26</v>
      </c>
      <c r="J17" s="18">
        <v>194</v>
      </c>
      <c r="K17" s="18">
        <v>8</v>
      </c>
      <c r="L17" s="18"/>
      <c r="M17" s="29">
        <f t="shared" si="0"/>
        <v>0</v>
      </c>
      <c r="N17" s="30">
        <v>6.9</v>
      </c>
      <c r="O17" s="30">
        <v>7.375</v>
      </c>
      <c r="P17" s="30">
        <v>39.1</v>
      </c>
      <c r="Q17" s="30">
        <v>83.7</v>
      </c>
      <c r="R17" s="18">
        <v>52</v>
      </c>
      <c r="S17" s="18">
        <v>46</v>
      </c>
      <c r="T17" s="18">
        <v>158</v>
      </c>
      <c r="U17" s="18">
        <v>0.6</v>
      </c>
      <c r="V17" s="18">
        <v>16.39</v>
      </c>
      <c r="W17" s="18">
        <v>220</v>
      </c>
      <c r="X17" s="18">
        <v>165.24</v>
      </c>
      <c r="Y17" s="18">
        <v>323.5</v>
      </c>
      <c r="Z17" s="18">
        <v>8</v>
      </c>
      <c r="AA17" s="18"/>
      <c r="AB17" s="18"/>
      <c r="AC17" s="18"/>
      <c r="AD17" s="18"/>
      <c r="AE17" s="18">
        <v>14.6</v>
      </c>
      <c r="AF17" s="32">
        <v>22</v>
      </c>
      <c r="AG17" s="32"/>
      <c r="AH17" s="32">
        <v>4.2</v>
      </c>
    </row>
    <row r="18" spans="1:34" ht="15.95">
      <c r="A18" s="34" t="s">
        <v>100</v>
      </c>
      <c r="B18" s="27">
        <v>0.48125000000000001</v>
      </c>
      <c r="C18" s="14" t="s">
        <v>97</v>
      </c>
      <c r="D18" s="14">
        <v>52</v>
      </c>
      <c r="E18" s="14">
        <v>260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1.8</v>
      </c>
      <c r="O18" s="30">
        <v>7.4889999999999999</v>
      </c>
      <c r="P18" s="30">
        <v>38.700000000000003</v>
      </c>
      <c r="Q18" s="30">
        <v>81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0.5229166666666667</v>
      </c>
      <c r="C19" s="14" t="s">
        <v>97</v>
      </c>
      <c r="D19" s="14">
        <v>51</v>
      </c>
      <c r="E19" s="14">
        <v>262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1.4</v>
      </c>
      <c r="O19" s="30">
        <v>7.452</v>
      </c>
      <c r="P19" s="30">
        <v>36.1</v>
      </c>
      <c r="Q19" s="30">
        <v>82.1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6.458333333333334E-2</v>
      </c>
      <c r="C20" s="14" t="s">
        <v>97</v>
      </c>
      <c r="D20" s="14">
        <v>64</v>
      </c>
      <c r="E20" s="14">
        <v>260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0.7</v>
      </c>
      <c r="O20" s="30">
        <v>7.4720000000000004</v>
      </c>
      <c r="P20" s="30">
        <v>36.6</v>
      </c>
      <c r="Q20" s="30">
        <v>82.5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0.10625</v>
      </c>
      <c r="C21" s="14" t="s">
        <v>97</v>
      </c>
      <c r="D21" s="14">
        <v>62</v>
      </c>
      <c r="E21" s="14">
        <v>263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1.4</v>
      </c>
      <c r="O21" s="30">
        <v>7.4969999999999999</v>
      </c>
      <c r="P21" s="30">
        <v>34.1</v>
      </c>
      <c r="Q21" s="30">
        <v>90.1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0.1111111111111111</v>
      </c>
      <c r="C22" s="14" t="s">
        <v>97</v>
      </c>
      <c r="D22" s="14">
        <v>79</v>
      </c>
      <c r="E22" s="14">
        <v>280</v>
      </c>
      <c r="F22" s="14"/>
      <c r="G22" s="18">
        <v>4.67</v>
      </c>
      <c r="H22" s="18">
        <v>8.9</v>
      </c>
      <c r="I22" s="18">
        <v>28.5</v>
      </c>
      <c r="J22" s="18">
        <v>217</v>
      </c>
      <c r="K22" s="18">
        <v>10.3</v>
      </c>
      <c r="L22" s="18"/>
      <c r="M22" s="29">
        <f t="shared" si="0"/>
        <v>0</v>
      </c>
      <c r="N22" s="30">
        <v>1.4</v>
      </c>
      <c r="O22" s="30">
        <v>7.4790000000000001</v>
      </c>
      <c r="P22" s="30">
        <v>36.6</v>
      </c>
      <c r="Q22" s="30">
        <v>80.8</v>
      </c>
      <c r="R22" s="18">
        <v>69</v>
      </c>
      <c r="S22" s="18">
        <v>63</v>
      </c>
      <c r="T22" s="18">
        <v>139</v>
      </c>
      <c r="U22" s="18">
        <v>0.5</v>
      </c>
      <c r="V22" s="18">
        <v>13.3</v>
      </c>
      <c r="W22" s="18">
        <v>297</v>
      </c>
      <c r="X22" s="18">
        <v>183.28</v>
      </c>
      <c r="Y22" s="18">
        <v>156.51</v>
      </c>
      <c r="Z22" s="18">
        <v>9</v>
      </c>
      <c r="AA22" s="9"/>
      <c r="AB22" s="9"/>
      <c r="AC22" s="9"/>
      <c r="AD22" s="9"/>
      <c r="AE22" s="9">
        <v>135.1</v>
      </c>
      <c r="AF22" s="32">
        <v>10.9</v>
      </c>
      <c r="AG22" s="32">
        <v>26.1</v>
      </c>
      <c r="AH22" s="32">
        <v>2.41</v>
      </c>
    </row>
    <row r="23" spans="1:34" ht="15.95">
      <c r="A23" s="16" t="s">
        <v>105</v>
      </c>
      <c r="B23" s="27">
        <v>0.43958333333333333</v>
      </c>
      <c r="C23" s="14" t="s">
        <v>97</v>
      </c>
      <c r="D23" s="14">
        <v>77</v>
      </c>
      <c r="E23" s="14">
        <v>269</v>
      </c>
      <c r="F23" s="14"/>
      <c r="G23" s="18">
        <v>5.01</v>
      </c>
      <c r="H23" s="18">
        <v>9.5</v>
      </c>
      <c r="I23" s="18">
        <v>30.6</v>
      </c>
      <c r="J23" s="18">
        <v>63</v>
      </c>
      <c r="K23" s="18">
        <v>6.7</v>
      </c>
      <c r="L23" s="18"/>
      <c r="M23" s="29">
        <f t="shared" si="0"/>
        <v>0</v>
      </c>
      <c r="N23" s="30">
        <v>1.8</v>
      </c>
      <c r="O23" s="30">
        <v>7.4130000000000003</v>
      </c>
      <c r="P23" s="30">
        <v>45.5</v>
      </c>
      <c r="Q23" s="30">
        <v>33.6</v>
      </c>
      <c r="R23" s="18">
        <v>30</v>
      </c>
      <c r="S23" s="18">
        <v>57</v>
      </c>
      <c r="T23" s="18">
        <v>138</v>
      </c>
      <c r="U23" s="18">
        <v>0.4</v>
      </c>
      <c r="V23" s="18">
        <v>10.84</v>
      </c>
      <c r="W23" s="18">
        <v>345</v>
      </c>
      <c r="X23" s="18">
        <v>276.18</v>
      </c>
      <c r="Y23" s="18">
        <v>140.97999999999999</v>
      </c>
      <c r="Z23" s="18">
        <v>9</v>
      </c>
      <c r="AA23" s="9"/>
      <c r="AB23" s="9"/>
      <c r="AC23" s="9"/>
      <c r="AD23" s="9"/>
      <c r="AE23" s="9">
        <v>11.4</v>
      </c>
      <c r="AF23" s="32">
        <v>14.8</v>
      </c>
      <c r="AG23" s="32">
        <v>9.9</v>
      </c>
      <c r="AH23" s="32">
        <v>1.37</v>
      </c>
    </row>
    <row r="24" spans="1:34" ht="15.95">
      <c r="A24" s="16" t="s">
        <v>106</v>
      </c>
      <c r="B24" s="27">
        <v>0.43958333333333333</v>
      </c>
      <c r="C24" s="14" t="s">
        <v>97</v>
      </c>
      <c r="D24" s="14">
        <v>67</v>
      </c>
      <c r="E24" s="14">
        <v>267</v>
      </c>
      <c r="F24" s="14"/>
      <c r="G24" s="18">
        <v>4.8600000000000003</v>
      </c>
      <c r="H24" s="18">
        <v>9.5</v>
      </c>
      <c r="I24" s="18">
        <v>30.1</v>
      </c>
      <c r="J24" s="18">
        <v>132</v>
      </c>
      <c r="K24" s="18">
        <v>9.8000000000000007</v>
      </c>
      <c r="L24" s="18"/>
      <c r="M24" s="29">
        <f t="shared" si="0"/>
        <v>0</v>
      </c>
      <c r="N24" s="30">
        <v>0.7</v>
      </c>
      <c r="O24" s="30">
        <v>7.4269999999999996</v>
      </c>
      <c r="P24" s="30">
        <v>43.7</v>
      </c>
      <c r="Q24" s="30">
        <v>33.200000000000003</v>
      </c>
      <c r="R24" s="18">
        <v>18</v>
      </c>
      <c r="S24" s="18">
        <v>39</v>
      </c>
      <c r="T24" s="18">
        <v>165</v>
      </c>
      <c r="U24" s="18">
        <v>0.5</v>
      </c>
      <c r="V24" s="18">
        <v>11.57</v>
      </c>
      <c r="W24" s="18">
        <v>287</v>
      </c>
      <c r="X24" s="18">
        <v>115.6</v>
      </c>
      <c r="Y24" s="18">
        <v>131.86000000000001</v>
      </c>
      <c r="Z24" s="18">
        <v>10</v>
      </c>
      <c r="AA24" s="9"/>
      <c r="AB24" s="9"/>
      <c r="AC24" s="9"/>
      <c r="AD24" s="9"/>
      <c r="AE24" s="9">
        <v>140.6</v>
      </c>
      <c r="AF24" s="32">
        <v>17.600000000000001</v>
      </c>
      <c r="AG24" s="32">
        <v>58.5</v>
      </c>
      <c r="AH24" s="32">
        <v>3.26</v>
      </c>
    </row>
    <row r="25" spans="1:34" ht="15.95">
      <c r="A25" s="16" t="s">
        <v>107</v>
      </c>
      <c r="B25" s="27">
        <v>0.43958333333333333</v>
      </c>
      <c r="C25" s="14" t="s">
        <v>97</v>
      </c>
      <c r="D25" s="14">
        <v>65</v>
      </c>
      <c r="E25" s="14">
        <v>260</v>
      </c>
      <c r="F25" s="14"/>
      <c r="G25" s="18">
        <v>4.43</v>
      </c>
      <c r="H25" s="18">
        <v>8.6999999999999993</v>
      </c>
      <c r="I25" s="18">
        <v>27.6</v>
      </c>
      <c r="J25" s="18">
        <v>116</v>
      </c>
      <c r="K25" s="18">
        <v>3.3</v>
      </c>
      <c r="L25" s="18"/>
      <c r="M25" s="29">
        <f t="shared" ref="M25" si="1">L25/(64.5*H25)</f>
        <v>0</v>
      </c>
      <c r="N25" s="30">
        <v>4.3</v>
      </c>
      <c r="O25" s="30">
        <v>7.5830000000000002</v>
      </c>
      <c r="P25" s="30">
        <v>30.3</v>
      </c>
      <c r="Q25" s="30">
        <v>88.6</v>
      </c>
      <c r="R25" s="18">
        <v>9</v>
      </c>
      <c r="S25" s="18">
        <v>30</v>
      </c>
      <c r="T25" s="18">
        <v>55</v>
      </c>
      <c r="U25" s="18">
        <v>0.6</v>
      </c>
      <c r="V25" s="18">
        <v>11.69</v>
      </c>
      <c r="W25" s="18">
        <v>267</v>
      </c>
      <c r="X25" s="18">
        <v>88.73</v>
      </c>
      <c r="Y25" s="18">
        <v>148.54</v>
      </c>
      <c r="Z25" s="18">
        <v>9</v>
      </c>
      <c r="AA25" s="9"/>
      <c r="AB25" s="9"/>
      <c r="AC25" s="9"/>
      <c r="AD25" s="9"/>
      <c r="AE25" s="9">
        <v>139.80000000000001</v>
      </c>
      <c r="AF25" s="32">
        <v>13.5</v>
      </c>
      <c r="AG25" s="32">
        <v>40.200000000000003</v>
      </c>
      <c r="AH25" s="32">
        <v>2.12</v>
      </c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  <mergeCell ref="B9:C9"/>
  </mergeCells>
  <conditionalFormatting sqref="D11:AZ11">
    <cfRule type="cellIs" dxfId="57" priority="1" operator="equal">
      <formula>"incomplete"</formula>
    </cfRule>
    <cfRule type="cellIs" dxfId="5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BEBA2CD-64CE-4277-8910-83DD23C7D37D}">
      <formula1>"incomplete, COMPLETED"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973E-0113-BF4C-9406-66B6488BA18D}">
  <dimension ref="A1:AZ28"/>
  <sheetViews>
    <sheetView workbookViewId="0">
      <selection activeCell="O25" sqref="O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112</v>
      </c>
      <c r="C4" s="53"/>
      <c r="D4" s="5"/>
      <c r="E4" s="4" t="s">
        <v>4</v>
      </c>
      <c r="F4" s="54" t="s">
        <v>110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1.93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44959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54.04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54.04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7811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0.33333333333333331</v>
      </c>
      <c r="C15" s="14" t="s">
        <v>97</v>
      </c>
      <c r="D15">
        <v>66</v>
      </c>
      <c r="E15" s="14">
        <v>271</v>
      </c>
      <c r="F15" s="14"/>
      <c r="G15" s="28">
        <v>5.17</v>
      </c>
      <c r="H15" s="28">
        <v>11</v>
      </c>
      <c r="I15" s="18">
        <v>34.6</v>
      </c>
      <c r="J15" s="18">
        <v>170</v>
      </c>
      <c r="K15" s="18">
        <v>7.6</v>
      </c>
      <c r="L15" s="18"/>
      <c r="M15" s="29">
        <f>L15/(64.5*H15)</f>
        <v>0</v>
      </c>
      <c r="N15" s="30">
        <v>1.4</v>
      </c>
      <c r="O15" s="30">
        <v>7.4660000000000002</v>
      </c>
      <c r="P15" s="30">
        <v>37.700000000000003</v>
      </c>
      <c r="Q15" s="30">
        <v>91.5</v>
      </c>
      <c r="R15" s="18">
        <v>39</v>
      </c>
      <c r="S15" s="31">
        <v>39</v>
      </c>
      <c r="T15" s="18">
        <v>155</v>
      </c>
      <c r="U15" s="18">
        <v>0.2</v>
      </c>
      <c r="V15" s="18">
        <v>11.02</v>
      </c>
      <c r="W15" s="18">
        <v>262</v>
      </c>
      <c r="X15" s="18">
        <v>141.15</v>
      </c>
      <c r="Y15" s="18">
        <v>157.41</v>
      </c>
      <c r="Z15" s="18">
        <v>8</v>
      </c>
      <c r="AA15" s="18"/>
      <c r="AB15" s="18"/>
      <c r="AC15" s="18"/>
      <c r="AD15" s="18"/>
      <c r="AE15" s="18">
        <v>141.80000000000001</v>
      </c>
      <c r="AF15" s="32">
        <v>20.5</v>
      </c>
      <c r="AG15" s="32">
        <v>19.899999999999999</v>
      </c>
      <c r="AH15" s="32">
        <v>1.58</v>
      </c>
    </row>
    <row r="16" spans="1:52" ht="15.95">
      <c r="A16" s="16" t="s">
        <v>98</v>
      </c>
      <c r="B16" s="27">
        <v>0.45555555555555555</v>
      </c>
      <c r="C16" s="14" t="s">
        <v>97</v>
      </c>
      <c r="D16" s="14">
        <v>33</v>
      </c>
      <c r="E16" s="14">
        <v>207</v>
      </c>
      <c r="F16" s="14"/>
      <c r="G16" s="18">
        <v>4.5</v>
      </c>
      <c r="H16" s="18">
        <v>9.9</v>
      </c>
      <c r="I16" s="18">
        <v>30.1</v>
      </c>
      <c r="J16" s="18">
        <v>55</v>
      </c>
      <c r="K16" s="18">
        <v>3.9</v>
      </c>
      <c r="L16" s="18"/>
      <c r="M16" s="29">
        <f t="shared" ref="M16:M25" si="0">L16/(64.5*H16)</f>
        <v>0</v>
      </c>
      <c r="N16" s="30">
        <v>6.2</v>
      </c>
      <c r="O16" s="30">
        <v>7.41</v>
      </c>
      <c r="P16" s="30">
        <v>43.7</v>
      </c>
      <c r="Q16" s="30">
        <v>89.7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0.46250000000000002</v>
      </c>
      <c r="C17" s="14" t="s">
        <v>97</v>
      </c>
      <c r="D17" s="14">
        <v>83</v>
      </c>
      <c r="E17" s="14">
        <v>194</v>
      </c>
      <c r="F17" s="14"/>
      <c r="G17" s="18">
        <v>3.96</v>
      </c>
      <c r="H17" s="18">
        <v>8.5</v>
      </c>
      <c r="I17" s="18">
        <v>26.5</v>
      </c>
      <c r="J17" s="18">
        <v>139</v>
      </c>
      <c r="K17" s="18">
        <v>3.7</v>
      </c>
      <c r="L17" s="18"/>
      <c r="M17" s="29">
        <f t="shared" si="0"/>
        <v>0</v>
      </c>
      <c r="N17" s="30">
        <v>5</v>
      </c>
      <c r="O17" s="30">
        <v>7.3789999999999996</v>
      </c>
      <c r="P17" s="30">
        <v>46.5</v>
      </c>
      <c r="Q17" s="30">
        <v>79.900000000000006</v>
      </c>
      <c r="R17" s="18">
        <v>39</v>
      </c>
      <c r="S17" s="18">
        <v>33</v>
      </c>
      <c r="T17" s="18">
        <v>177</v>
      </c>
      <c r="U17" s="18">
        <v>0.4</v>
      </c>
      <c r="V17" s="18">
        <v>17.86</v>
      </c>
      <c r="W17" s="18">
        <v>191</v>
      </c>
      <c r="X17" s="18">
        <v>169.71</v>
      </c>
      <c r="Y17" s="18">
        <v>342.02</v>
      </c>
      <c r="Z17" s="18">
        <v>6</v>
      </c>
      <c r="AA17" s="18"/>
      <c r="AB17" s="18"/>
      <c r="AC17" s="18"/>
      <c r="AD17" s="18"/>
      <c r="AE17" s="18"/>
      <c r="AF17" s="32">
        <v>19.100000000000001</v>
      </c>
      <c r="AG17" s="32"/>
      <c r="AH17" s="32">
        <v>1.66</v>
      </c>
    </row>
    <row r="18" spans="1:34" ht="15.95">
      <c r="A18" s="34" t="s">
        <v>100</v>
      </c>
      <c r="B18" s="27">
        <v>0.50416666666666665</v>
      </c>
      <c r="C18" s="14" t="s">
        <v>97</v>
      </c>
      <c r="D18" s="14">
        <v>65</v>
      </c>
      <c r="E18" s="14">
        <v>220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3.9</v>
      </c>
      <c r="O18" s="30">
        <v>7.5090000000000003</v>
      </c>
      <c r="P18" s="30">
        <v>38.1</v>
      </c>
      <c r="Q18" s="30">
        <v>105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0.54583333333333328</v>
      </c>
      <c r="C19" s="14" t="s">
        <v>97</v>
      </c>
      <c r="D19" s="14">
        <v>70</v>
      </c>
      <c r="E19" s="14">
        <v>268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3.6</v>
      </c>
      <c r="O19" s="30">
        <v>7.4880000000000004</v>
      </c>
      <c r="P19" s="30">
        <v>37</v>
      </c>
      <c r="Q19" s="30">
        <v>95.5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0.58750000000000002</v>
      </c>
      <c r="C20" s="14" t="s">
        <v>97</v>
      </c>
      <c r="D20" s="14">
        <v>71</v>
      </c>
      <c r="E20" s="14">
        <v>292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3</v>
      </c>
      <c r="O20" s="30">
        <v>7.4619999999999997</v>
      </c>
      <c r="P20" s="30">
        <v>36.200000000000003</v>
      </c>
      <c r="Q20" s="30">
        <v>91.9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0.62916666666666665</v>
      </c>
      <c r="C21" s="14" t="s">
        <v>97</v>
      </c>
      <c r="D21" s="14">
        <v>65</v>
      </c>
      <c r="E21" s="14">
        <v>284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1.8</v>
      </c>
      <c r="O21" s="30">
        <v>7.492</v>
      </c>
      <c r="P21" s="30">
        <v>34</v>
      </c>
      <c r="Q21" s="30">
        <v>96.7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0.62916666666666665</v>
      </c>
      <c r="C22" s="14" t="s">
        <v>97</v>
      </c>
      <c r="D22" s="14">
        <v>71</v>
      </c>
      <c r="E22" s="14">
        <v>289</v>
      </c>
      <c r="F22" s="14"/>
      <c r="G22" s="18">
        <v>4.25</v>
      </c>
      <c r="H22" s="18">
        <v>9.1</v>
      </c>
      <c r="I22" s="18">
        <v>28.7</v>
      </c>
      <c r="J22" s="18">
        <v>146</v>
      </c>
      <c r="K22" s="18">
        <v>7.4</v>
      </c>
      <c r="L22" s="18"/>
      <c r="M22" s="29">
        <f t="shared" si="0"/>
        <v>0</v>
      </c>
      <c r="N22" s="30">
        <v>1.9</v>
      </c>
      <c r="O22" s="30">
        <v>7.4749999999999996</v>
      </c>
      <c r="P22" s="30">
        <v>37.5</v>
      </c>
      <c r="Q22" s="30">
        <v>85.1</v>
      </c>
      <c r="R22" s="18">
        <v>54</v>
      </c>
      <c r="S22" s="18">
        <v>47</v>
      </c>
      <c r="T22" s="18">
        <v>87</v>
      </c>
      <c r="U22" s="18">
        <v>0.3</v>
      </c>
      <c r="V22" s="18">
        <v>16.850000000000001</v>
      </c>
      <c r="W22" s="18">
        <v>208</v>
      </c>
      <c r="X22" s="18">
        <v>89.48</v>
      </c>
      <c r="Y22" s="18">
        <v>125.53</v>
      </c>
      <c r="Z22" s="18">
        <v>7</v>
      </c>
      <c r="AA22" s="9"/>
      <c r="AB22" s="9"/>
      <c r="AC22" s="9"/>
      <c r="AD22" s="9"/>
      <c r="AE22" s="9">
        <v>137.6</v>
      </c>
      <c r="AF22" s="9">
        <v>14.9</v>
      </c>
      <c r="AG22" s="32">
        <v>20.6</v>
      </c>
      <c r="AH22" s="32">
        <v>1.45</v>
      </c>
    </row>
    <row r="23" spans="1:34" ht="15.95">
      <c r="A23" s="16" t="s">
        <v>105</v>
      </c>
      <c r="B23" s="27">
        <v>0.46250000000000002</v>
      </c>
      <c r="C23" s="14" t="s">
        <v>97</v>
      </c>
      <c r="D23" s="14">
        <v>75</v>
      </c>
      <c r="E23" s="14">
        <v>264</v>
      </c>
      <c r="F23" s="14"/>
      <c r="G23" s="18">
        <v>4.4800000000000004</v>
      </c>
      <c r="H23" s="18">
        <v>10.1</v>
      </c>
      <c r="I23" s="18">
        <v>30.3</v>
      </c>
      <c r="J23" s="18">
        <v>22</v>
      </c>
      <c r="K23" s="18">
        <v>4.4000000000000004</v>
      </c>
      <c r="L23" s="18"/>
      <c r="M23" s="29">
        <f t="shared" si="0"/>
        <v>0</v>
      </c>
      <c r="N23" s="30">
        <v>3.2</v>
      </c>
      <c r="O23" s="30">
        <v>7.4470000000000001</v>
      </c>
      <c r="P23" s="30">
        <v>38.9</v>
      </c>
      <c r="Q23" s="30">
        <v>83.8</v>
      </c>
      <c r="R23" s="18">
        <v>35</v>
      </c>
      <c r="S23" s="18">
        <v>52</v>
      </c>
      <c r="T23" s="18">
        <v>117</v>
      </c>
      <c r="U23" s="18">
        <v>0.6</v>
      </c>
      <c r="V23" s="18">
        <v>8.76</v>
      </c>
      <c r="W23" s="18">
        <v>226</v>
      </c>
      <c r="X23" s="18">
        <v>58.9</v>
      </c>
      <c r="Y23" s="18">
        <v>147.11000000000001</v>
      </c>
      <c r="Z23" s="18">
        <v>7</v>
      </c>
      <c r="AA23" s="9"/>
      <c r="AB23" s="9"/>
      <c r="AC23" s="9"/>
      <c r="AD23" s="9"/>
      <c r="AE23" s="9">
        <v>127.6</v>
      </c>
      <c r="AF23" s="9">
        <v>12.4</v>
      </c>
      <c r="AG23" s="32">
        <v>21.7</v>
      </c>
      <c r="AH23" s="32">
        <v>1.97</v>
      </c>
    </row>
    <row r="24" spans="1:34" ht="15.95">
      <c r="A24" s="16" t="s">
        <v>106</v>
      </c>
      <c r="B24" s="27">
        <v>0.46250000000000002</v>
      </c>
      <c r="C24" s="14" t="s">
        <v>97</v>
      </c>
      <c r="D24" s="14">
        <v>61</v>
      </c>
      <c r="E24" s="14">
        <v>225</v>
      </c>
      <c r="F24" s="14"/>
      <c r="G24" s="18">
        <v>4.6900000000000004</v>
      </c>
      <c r="H24" s="18">
        <v>10</v>
      </c>
      <c r="I24" s="18">
        <v>31.7</v>
      </c>
      <c r="J24" s="18">
        <v>74</v>
      </c>
      <c r="K24" s="18">
        <v>6.3</v>
      </c>
      <c r="L24" s="18"/>
      <c r="M24" s="29">
        <f t="shared" si="0"/>
        <v>0</v>
      </c>
      <c r="N24" s="30">
        <v>2.8</v>
      </c>
      <c r="O24" s="30">
        <v>7.4249999999999998</v>
      </c>
      <c r="P24" s="30">
        <v>44</v>
      </c>
      <c r="Q24" s="30">
        <v>71.8</v>
      </c>
      <c r="R24" s="18">
        <v>27</v>
      </c>
      <c r="S24" s="18">
        <v>91</v>
      </c>
      <c r="T24" s="18">
        <v>96</v>
      </c>
      <c r="U24" s="18">
        <v>0.8</v>
      </c>
      <c r="V24" s="18">
        <v>13.61</v>
      </c>
      <c r="W24" s="18">
        <v>243</v>
      </c>
      <c r="X24" s="18">
        <v>74.37</v>
      </c>
      <c r="Y24" s="18">
        <v>133.29</v>
      </c>
      <c r="Z24" s="18">
        <v>11</v>
      </c>
      <c r="AA24" s="9"/>
      <c r="AB24" s="9"/>
      <c r="AC24" s="9"/>
      <c r="AD24" s="9"/>
      <c r="AE24" s="9">
        <v>131.80000000000001</v>
      </c>
      <c r="AF24" s="9">
        <v>21.5</v>
      </c>
      <c r="AG24" s="32">
        <v>92.2</v>
      </c>
      <c r="AH24" s="32">
        <v>2.36</v>
      </c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55" priority="1" operator="equal">
      <formula>"incomplete"</formula>
    </cfRule>
    <cfRule type="cellIs" dxfId="5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D9211F8-78F9-AE44-9BD2-6A106F1BFD22}">
      <formula1>"incomplete, COMPLETED"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5D7B-BDF0-7846-8313-BA9A5872EE83}">
  <dimension ref="A1:AZ28"/>
  <sheetViews>
    <sheetView topLeftCell="AG1" workbookViewId="0">
      <selection activeCell="O19" sqref="O1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113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1.86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44959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130.19999999999999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130.19999999999999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8207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0.28819444444444442</v>
      </c>
      <c r="C15" s="14" t="s">
        <v>97</v>
      </c>
      <c r="D15" s="14">
        <v>73</v>
      </c>
      <c r="E15" s="14">
        <v>294</v>
      </c>
      <c r="F15" s="14"/>
      <c r="G15" s="28">
        <v>5.6</v>
      </c>
      <c r="H15" s="28">
        <v>12</v>
      </c>
      <c r="I15" s="18">
        <v>36.9</v>
      </c>
      <c r="J15" s="18">
        <v>9</v>
      </c>
      <c r="K15" s="18">
        <v>3.8</v>
      </c>
      <c r="L15" s="18"/>
      <c r="M15" s="29">
        <f>L15/(64.5*H15)</f>
        <v>0</v>
      </c>
      <c r="N15" s="30">
        <v>3.5</v>
      </c>
      <c r="O15" s="30">
        <v>7.484</v>
      </c>
      <c r="P15" s="30">
        <v>40.4</v>
      </c>
      <c r="Q15" s="30">
        <v>83.8</v>
      </c>
      <c r="R15" s="18">
        <v>34</v>
      </c>
      <c r="S15" s="31">
        <v>40</v>
      </c>
      <c r="T15" s="18">
        <v>133</v>
      </c>
      <c r="U15" s="18">
        <v>0.4</v>
      </c>
      <c r="V15" s="18">
        <v>12.74</v>
      </c>
      <c r="W15" s="18">
        <v>278</v>
      </c>
      <c r="X15" s="18">
        <v>415.7</v>
      </c>
      <c r="Y15" s="18">
        <v>147.26</v>
      </c>
      <c r="Z15" s="18">
        <v>12</v>
      </c>
      <c r="AA15" s="18"/>
      <c r="AB15" s="18"/>
      <c r="AC15" s="18"/>
      <c r="AD15" s="18"/>
      <c r="AE15" s="18">
        <v>126.6</v>
      </c>
      <c r="AF15" s="32">
        <v>20.6</v>
      </c>
      <c r="AG15" s="32"/>
      <c r="AH15" s="32">
        <v>0.54</v>
      </c>
    </row>
    <row r="16" spans="1:52" ht="15.95">
      <c r="A16" s="16" t="s">
        <v>98</v>
      </c>
      <c r="B16" s="27">
        <v>0.44861111111111113</v>
      </c>
      <c r="C16" s="14" t="s">
        <v>97</v>
      </c>
      <c r="D16" s="14">
        <v>30</v>
      </c>
      <c r="E16" s="14">
        <v>247</v>
      </c>
      <c r="F16" s="14"/>
      <c r="G16" s="18">
        <v>3.63</v>
      </c>
      <c r="H16" s="18">
        <v>7.7</v>
      </c>
      <c r="I16" s="18">
        <v>23.7</v>
      </c>
      <c r="J16" s="18">
        <v>101</v>
      </c>
      <c r="K16" s="18">
        <v>3</v>
      </c>
      <c r="L16" s="18"/>
      <c r="M16" s="29">
        <f t="shared" ref="M16:M25" si="0">L16/(64.5*H16)</f>
        <v>0</v>
      </c>
      <c r="N16" s="30">
        <v>12.8</v>
      </c>
      <c r="O16" s="30">
        <v>7.1760000000000002</v>
      </c>
      <c r="P16" s="30">
        <v>58</v>
      </c>
      <c r="Q16" s="30">
        <v>93.9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0.45555555555555555</v>
      </c>
      <c r="C17" s="14" t="s">
        <v>97</v>
      </c>
      <c r="D17" s="14">
        <v>78</v>
      </c>
      <c r="E17" s="14">
        <v>269</v>
      </c>
      <c r="F17" s="14"/>
      <c r="G17" s="18">
        <v>4.22</v>
      </c>
      <c r="H17" s="18">
        <v>8.9</v>
      </c>
      <c r="I17" s="18">
        <v>27.7</v>
      </c>
      <c r="J17" s="18">
        <v>55</v>
      </c>
      <c r="K17" s="18">
        <v>5.6</v>
      </c>
      <c r="L17" s="18"/>
      <c r="M17" s="29">
        <f t="shared" si="0"/>
        <v>0</v>
      </c>
      <c r="N17" s="30">
        <v>13.2</v>
      </c>
      <c r="O17" s="30"/>
      <c r="P17" s="30"/>
      <c r="Q17" s="30"/>
      <c r="R17" s="18">
        <v>47</v>
      </c>
      <c r="S17" s="18">
        <v>36</v>
      </c>
      <c r="T17" s="18">
        <v>143</v>
      </c>
      <c r="U17" s="18">
        <v>1</v>
      </c>
      <c r="V17" s="18">
        <v>18.829999999999998</v>
      </c>
      <c r="W17" s="18">
        <v>232</v>
      </c>
      <c r="X17" s="18">
        <v>307.77</v>
      </c>
      <c r="Y17" s="18">
        <v>339.31</v>
      </c>
      <c r="Z17" s="18">
        <v>10</v>
      </c>
      <c r="AA17" s="18"/>
      <c r="AB17" s="18"/>
      <c r="AC17" s="18"/>
      <c r="AD17" s="18"/>
      <c r="AE17" s="18">
        <v>11.1</v>
      </c>
      <c r="AF17" s="32">
        <v>14.5</v>
      </c>
      <c r="AG17" s="32"/>
      <c r="AH17" s="32">
        <v>3.83</v>
      </c>
    </row>
    <row r="18" spans="1:34" ht="15.95">
      <c r="A18" s="34" t="s">
        <v>100</v>
      </c>
      <c r="B18" s="27">
        <v>0.49722222222222223</v>
      </c>
      <c r="C18" s="14" t="s">
        <v>97</v>
      </c>
      <c r="D18" s="14">
        <v>45</v>
      </c>
      <c r="E18" s="14">
        <v>173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8</v>
      </c>
      <c r="O18" s="30">
        <v>7.4930000000000003</v>
      </c>
      <c r="P18" s="30">
        <v>43.9</v>
      </c>
      <c r="Q18" s="30">
        <v>79.099999999999994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0.53888888888888886</v>
      </c>
      <c r="C19" s="14" t="s">
        <v>97</v>
      </c>
      <c r="D19" s="14">
        <v>61</v>
      </c>
      <c r="E19" s="14">
        <v>282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4.5999999999999996</v>
      </c>
      <c r="O19" s="30">
        <v>7.4939999999999998</v>
      </c>
      <c r="P19" s="30">
        <v>40.6</v>
      </c>
      <c r="Q19" s="30">
        <v>107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0.5805555555555556</v>
      </c>
      <c r="C20" s="14" t="s">
        <v>97</v>
      </c>
      <c r="D20" s="14">
        <v>63</v>
      </c>
      <c r="E20" s="14">
        <v>263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3.3</v>
      </c>
      <c r="O20" s="30">
        <v>7.4470000000000001</v>
      </c>
      <c r="P20" s="30">
        <v>41.3</v>
      </c>
      <c r="Q20" s="30">
        <v>89.2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0.62222222222222223</v>
      </c>
      <c r="C21" s="14" t="s">
        <v>97</v>
      </c>
      <c r="D21" s="14">
        <v>67</v>
      </c>
      <c r="E21" s="14">
        <v>285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>
        <v>7.2629999999999999</v>
      </c>
      <c r="P21" s="30">
        <v>53.2</v>
      </c>
      <c r="Q21" s="30">
        <v>104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0.66388888888888886</v>
      </c>
      <c r="C22" s="14" t="s">
        <v>97</v>
      </c>
      <c r="D22" s="14">
        <v>65</v>
      </c>
      <c r="E22" s="14">
        <v>271</v>
      </c>
      <c r="F22" s="14"/>
      <c r="G22" s="18">
        <v>4.5</v>
      </c>
      <c r="H22" s="18">
        <v>9.4</v>
      </c>
      <c r="I22" s="18">
        <v>29.3</v>
      </c>
      <c r="J22" s="18">
        <v>64</v>
      </c>
      <c r="K22" s="18">
        <v>6</v>
      </c>
      <c r="L22" s="18"/>
      <c r="M22" s="29">
        <f t="shared" si="0"/>
        <v>0</v>
      </c>
      <c r="N22" s="30">
        <v>3.3</v>
      </c>
      <c r="O22" s="30">
        <v>7.4820000000000002</v>
      </c>
      <c r="P22" s="30">
        <v>38.799999999999997</v>
      </c>
      <c r="Q22" s="30">
        <v>89.3</v>
      </c>
      <c r="R22" s="18">
        <v>99</v>
      </c>
      <c r="S22" s="18">
        <v>55</v>
      </c>
      <c r="T22" s="18">
        <v>294</v>
      </c>
      <c r="U22" s="18">
        <v>0.4</v>
      </c>
      <c r="V22" s="18">
        <v>19.489999999999998</v>
      </c>
      <c r="W22" s="18">
        <v>226</v>
      </c>
      <c r="X22" s="18">
        <v>272.69</v>
      </c>
      <c r="Y22" s="18">
        <v>147.76</v>
      </c>
      <c r="Z22" s="18">
        <v>9</v>
      </c>
      <c r="AA22" s="9"/>
      <c r="AB22" s="9"/>
      <c r="AC22" s="9"/>
      <c r="AD22" s="9"/>
      <c r="AE22" s="9"/>
      <c r="AF22" s="9">
        <v>16.100000000000001</v>
      </c>
      <c r="AG22" s="32"/>
      <c r="AH22" s="32">
        <v>3.75</v>
      </c>
    </row>
    <row r="23" spans="1:34" ht="15.95">
      <c r="A23" s="16" t="s">
        <v>105</v>
      </c>
      <c r="B23" s="27">
        <v>0.45555555555555555</v>
      </c>
      <c r="C23" s="14" t="s">
        <v>97</v>
      </c>
      <c r="D23" s="14">
        <v>77</v>
      </c>
      <c r="E23" s="14">
        <v>246</v>
      </c>
      <c r="F23" s="14"/>
      <c r="G23" s="18">
        <v>4.6100000000000003</v>
      </c>
      <c r="H23" s="18">
        <v>9.9</v>
      </c>
      <c r="I23" s="18">
        <v>30.3</v>
      </c>
      <c r="J23" s="18">
        <v>23</v>
      </c>
      <c r="K23" s="18">
        <v>3.5</v>
      </c>
      <c r="L23" s="18"/>
      <c r="M23" s="29">
        <f t="shared" si="0"/>
        <v>0</v>
      </c>
      <c r="N23" s="30">
        <v>1.2</v>
      </c>
      <c r="O23" s="30">
        <v>7.4710000000000001</v>
      </c>
      <c r="P23" s="30">
        <v>38.6</v>
      </c>
      <c r="Q23" s="30">
        <v>85.1</v>
      </c>
      <c r="R23" s="18">
        <v>532</v>
      </c>
      <c r="S23" s="18">
        <v>142</v>
      </c>
      <c r="T23" s="18">
        <v>210</v>
      </c>
      <c r="U23" s="18">
        <v>0.4</v>
      </c>
      <c r="V23" s="18">
        <v>13.68</v>
      </c>
      <c r="W23" s="18">
        <v>454</v>
      </c>
      <c r="X23" s="18">
        <v>232.44</v>
      </c>
      <c r="Y23" s="18">
        <v>133.53</v>
      </c>
      <c r="Z23" s="18">
        <v>10</v>
      </c>
      <c r="AA23" s="9"/>
      <c r="AB23" s="9"/>
      <c r="AC23" s="9"/>
      <c r="AD23" s="9"/>
      <c r="AE23" s="9">
        <v>132.1</v>
      </c>
      <c r="AF23" s="9">
        <v>11.6</v>
      </c>
      <c r="AG23" s="32">
        <v>17.2</v>
      </c>
      <c r="AH23" s="32">
        <v>2.2999999999999998</v>
      </c>
    </row>
    <row r="24" spans="1:34" ht="15.95">
      <c r="A24" s="16" t="s">
        <v>106</v>
      </c>
      <c r="B24" s="27">
        <v>0.45555555555555555</v>
      </c>
      <c r="C24" s="14" t="s">
        <v>97</v>
      </c>
      <c r="D24" s="14">
        <v>81</v>
      </c>
      <c r="E24" s="14">
        <v>256</v>
      </c>
      <c r="F24" s="14"/>
      <c r="G24" s="18">
        <v>4.55</v>
      </c>
      <c r="H24" s="18">
        <v>9.6</v>
      </c>
      <c r="I24" s="18">
        <v>29.8</v>
      </c>
      <c r="J24" s="18">
        <v>117</v>
      </c>
      <c r="K24" s="18">
        <v>4.9000000000000004</v>
      </c>
      <c r="L24" s="18"/>
      <c r="M24" s="29">
        <f t="shared" si="0"/>
        <v>0</v>
      </c>
      <c r="N24" s="30">
        <v>1.1000000000000001</v>
      </c>
      <c r="O24" s="30">
        <v>7.4809999999999999</v>
      </c>
      <c r="P24" s="30">
        <v>37.299999999999997</v>
      </c>
      <c r="Q24" s="30">
        <v>85.2</v>
      </c>
      <c r="R24" s="18">
        <v>524</v>
      </c>
      <c r="S24" s="18">
        <v>209</v>
      </c>
      <c r="T24" s="18">
        <v>186</v>
      </c>
      <c r="U24" s="18">
        <v>0.8</v>
      </c>
      <c r="V24" s="18">
        <v>13.72</v>
      </c>
      <c r="W24" s="18">
        <v>390</v>
      </c>
      <c r="X24" s="18">
        <v>11.34</v>
      </c>
      <c r="Y24" s="18">
        <v>134.94999999999999</v>
      </c>
      <c r="Z24" s="18">
        <v>12</v>
      </c>
      <c r="AA24" s="9"/>
      <c r="AB24" s="9"/>
      <c r="AC24" s="9"/>
      <c r="AD24" s="9"/>
      <c r="AE24" s="9">
        <v>36</v>
      </c>
      <c r="AF24" s="9">
        <v>27.7</v>
      </c>
      <c r="AG24" s="32">
        <v>46.9</v>
      </c>
      <c r="AH24" s="32">
        <v>2.52</v>
      </c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9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53" priority="1" operator="equal">
      <formula>"incomplete"</formula>
    </cfRule>
    <cfRule type="cellIs" dxfId="5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52A29C99-B55B-E147-B9FB-4619CD07F012}">
      <formula1>"incomplete, COMPLETED"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FA8A-AFD6-B44A-8EEE-5A61D789F370}">
  <dimension ref="A1:AZ28"/>
  <sheetViews>
    <sheetView workbookViewId="0">
      <selection activeCell="F26" sqref="F2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114</v>
      </c>
      <c r="C4" s="53"/>
      <c r="D4" s="5"/>
      <c r="E4" s="4" t="s">
        <v>4</v>
      </c>
      <c r="F4" s="54" t="s">
        <v>115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1.76</v>
      </c>
      <c r="C5" s="53"/>
      <c r="D5" s="5"/>
      <c r="E5" s="4" t="s">
        <v>8</v>
      </c>
      <c r="F5" s="56" t="s">
        <v>116</v>
      </c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44964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49.28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49.28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7590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0.27777777777777779</v>
      </c>
      <c r="C15" s="14" t="s">
        <v>97</v>
      </c>
      <c r="D15" s="14">
        <v>72</v>
      </c>
      <c r="E15" s="14">
        <v>242</v>
      </c>
      <c r="F15" s="14"/>
      <c r="G15" s="28">
        <v>5.85</v>
      </c>
      <c r="H15" s="28">
        <v>11.6</v>
      </c>
      <c r="I15" s="18">
        <v>36.700000000000003</v>
      </c>
      <c r="J15" s="18">
        <v>247</v>
      </c>
      <c r="K15" s="18">
        <v>6.1</v>
      </c>
      <c r="L15" s="18"/>
      <c r="M15" s="29">
        <f>L15/(64.5*H15)</f>
        <v>0</v>
      </c>
      <c r="N15" s="30">
        <v>0.9</v>
      </c>
      <c r="O15" s="30">
        <v>7.4509999999999996</v>
      </c>
      <c r="P15" s="30">
        <v>45.7</v>
      </c>
      <c r="Q15" s="30">
        <v>64.2</v>
      </c>
      <c r="R15" s="18">
        <v>26</v>
      </c>
      <c r="S15" s="31">
        <v>72</v>
      </c>
      <c r="T15" s="18">
        <v>96</v>
      </c>
      <c r="U15" s="18">
        <v>0.8</v>
      </c>
      <c r="V15" s="18">
        <v>11.55</v>
      </c>
      <c r="W15" s="18">
        <v>270</v>
      </c>
      <c r="X15" s="18">
        <v>85.71</v>
      </c>
      <c r="Y15" s="18">
        <v>132.86000000000001</v>
      </c>
      <c r="Z15" s="18">
        <v>6</v>
      </c>
      <c r="AA15" s="18"/>
      <c r="AB15" s="18"/>
      <c r="AC15" s="18"/>
      <c r="AD15" s="18"/>
      <c r="AE15" s="18">
        <v>135.9</v>
      </c>
      <c r="AF15" s="32">
        <v>14.7</v>
      </c>
      <c r="AG15" s="32">
        <v>20.7</v>
      </c>
      <c r="AH15" s="32">
        <v>1.63</v>
      </c>
    </row>
    <row r="16" spans="1:52" ht="15.95">
      <c r="A16" s="16" t="s">
        <v>98</v>
      </c>
      <c r="B16" s="27">
        <v>0.37638888888888888</v>
      </c>
      <c r="C16" s="14" t="s">
        <v>97</v>
      </c>
      <c r="D16" s="14">
        <v>71</v>
      </c>
      <c r="E16" s="14">
        <v>192</v>
      </c>
      <c r="F16" s="14"/>
      <c r="G16" s="18">
        <v>3.8</v>
      </c>
      <c r="H16" s="18">
        <v>7.7</v>
      </c>
      <c r="I16" s="18">
        <v>23.6</v>
      </c>
      <c r="J16" s="18">
        <v>90</v>
      </c>
      <c r="K16" s="18">
        <v>5.9</v>
      </c>
      <c r="L16" s="18"/>
      <c r="M16" s="29">
        <f t="shared" ref="M16:M25" si="0">L16/(64.5*H16)</f>
        <v>0</v>
      </c>
      <c r="N16" s="30">
        <v>11.5</v>
      </c>
      <c r="O16" s="30">
        <v>7.423</v>
      </c>
      <c r="P16" s="30">
        <v>32.4</v>
      </c>
      <c r="Q16" s="30">
        <v>96.9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0.38333333333333336</v>
      </c>
      <c r="C17" s="14" t="s">
        <v>97</v>
      </c>
      <c r="D17" s="14">
        <v>66</v>
      </c>
      <c r="E17" s="14">
        <v>275</v>
      </c>
      <c r="F17" s="14"/>
      <c r="G17" s="18">
        <v>4.5999999999999996</v>
      </c>
      <c r="H17" s="18">
        <v>9.1999999999999993</v>
      </c>
      <c r="I17" s="18">
        <v>28.7</v>
      </c>
      <c r="J17" s="18">
        <v>187</v>
      </c>
      <c r="K17" s="18">
        <v>4.8</v>
      </c>
      <c r="L17" s="18"/>
      <c r="M17" s="29">
        <f t="shared" si="0"/>
        <v>0</v>
      </c>
      <c r="N17" s="30">
        <v>11.1</v>
      </c>
      <c r="O17" s="30">
        <v>7.351</v>
      </c>
      <c r="P17" s="30">
        <v>38.299999999999997</v>
      </c>
      <c r="Q17" s="30">
        <v>89</v>
      </c>
      <c r="R17" s="18">
        <v>51</v>
      </c>
      <c r="S17" s="18">
        <v>64</v>
      </c>
      <c r="T17" s="18">
        <v>202</v>
      </c>
      <c r="U17" s="18">
        <v>1.3</v>
      </c>
      <c r="V17" s="18">
        <v>20.59</v>
      </c>
      <c r="W17" s="18">
        <v>255</v>
      </c>
      <c r="X17" s="18">
        <v>160.25</v>
      </c>
      <c r="Y17" s="18">
        <v>336.37</v>
      </c>
      <c r="Z17" s="18">
        <v>5</v>
      </c>
      <c r="AA17" s="18"/>
      <c r="AB17" s="18"/>
      <c r="AC17" s="18"/>
      <c r="AD17" s="18"/>
      <c r="AE17" s="18">
        <v>142.1</v>
      </c>
      <c r="AF17" s="32">
        <v>14.2</v>
      </c>
      <c r="AG17" s="32">
        <v>20.399999999999999</v>
      </c>
      <c r="AH17" s="32">
        <v>1.48</v>
      </c>
    </row>
    <row r="18" spans="1:34" ht="15.95">
      <c r="A18" s="34" t="s">
        <v>100</v>
      </c>
      <c r="B18" s="27">
        <v>0.42499999999999999</v>
      </c>
      <c r="C18" s="14" t="s">
        <v>97</v>
      </c>
      <c r="D18" s="14">
        <v>56</v>
      </c>
      <c r="E18" s="14">
        <v>293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5.4</v>
      </c>
      <c r="O18" s="30">
        <v>7.4740000000000002</v>
      </c>
      <c r="P18" s="30">
        <v>42.4</v>
      </c>
      <c r="Q18" s="30">
        <v>88.9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0.46666666666666667</v>
      </c>
      <c r="C19" s="14" t="s">
        <v>97</v>
      </c>
      <c r="D19" s="14">
        <v>92</v>
      </c>
      <c r="E19" s="14">
        <v>281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13.8</v>
      </c>
      <c r="O19" s="30">
        <v>7.367</v>
      </c>
      <c r="P19" s="30">
        <v>40.1</v>
      </c>
      <c r="Q19" s="30">
        <v>93.7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0.5083333333333333</v>
      </c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0.55000000000000004</v>
      </c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0.55694444444444446</v>
      </c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51" priority="1" operator="equal">
      <formula>"incomplete"</formula>
    </cfRule>
    <cfRule type="cellIs" dxfId="5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72B56DE-A2C2-0141-865E-ACF4C5DD9895}">
      <formula1>"incomplete,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9E1-5767-514F-9EAE-B45363B820C3}">
  <dimension ref="A1:AZ28"/>
  <sheetViews>
    <sheetView workbookViewId="0">
      <selection activeCell="B14" sqref="B14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117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2.0699999999999998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44974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7594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/>
      <c r="C15" s="14" t="s">
        <v>97</v>
      </c>
      <c r="D15" s="14"/>
      <c r="E15" s="14"/>
      <c r="F15" s="14"/>
      <c r="G15" s="28"/>
      <c r="H15" s="28"/>
      <c r="I15" s="18"/>
      <c r="J15" s="18"/>
      <c r="K15" s="18"/>
      <c r="L15" s="18"/>
      <c r="M15" s="29" t="e">
        <f>L15/(64.5*H15)</f>
        <v>#DIV/0!</v>
      </c>
      <c r="N15" s="30"/>
      <c r="O15" s="30"/>
      <c r="P15" s="30"/>
      <c r="Q15" s="30"/>
      <c r="R15" s="18"/>
      <c r="S15" s="31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2"/>
      <c r="AG15" s="32"/>
      <c r="AH15" s="32"/>
    </row>
    <row r="16" spans="1:52" ht="15.95">
      <c r="A16" s="16" t="s">
        <v>98</v>
      </c>
      <c r="B16" s="27"/>
      <c r="C16" s="14" t="s">
        <v>97</v>
      </c>
      <c r="D16" s="14"/>
      <c r="E16" s="14"/>
      <c r="F16" s="14"/>
      <c r="G16" s="18"/>
      <c r="H16" s="18"/>
      <c r="I16" s="18"/>
      <c r="J16" s="18"/>
      <c r="K16" s="18"/>
      <c r="L16" s="18"/>
      <c r="M16" s="29" t="e">
        <f t="shared" ref="M16:M25" si="0">L16/(64.5*H16)</f>
        <v>#DIV/0!</v>
      </c>
      <c r="N16" s="30"/>
      <c r="O16" s="30"/>
      <c r="P16" s="30"/>
      <c r="Q16" s="30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/>
      <c r="C17" s="14" t="s">
        <v>97</v>
      </c>
      <c r="D17" s="14"/>
      <c r="E17" s="14"/>
      <c r="F17" s="14"/>
      <c r="G17" s="18"/>
      <c r="H17" s="18"/>
      <c r="I17" s="18"/>
      <c r="J17" s="18"/>
      <c r="K17" s="18"/>
      <c r="L17" s="18"/>
      <c r="M17" s="29" t="e">
        <f t="shared" si="0"/>
        <v>#DIV/0!</v>
      </c>
      <c r="N17" s="30"/>
      <c r="O17" s="30"/>
      <c r="P17" s="30"/>
      <c r="Q17" s="30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100</v>
      </c>
      <c r="B18" s="27"/>
      <c r="C18" s="14" t="s">
        <v>97</v>
      </c>
      <c r="D18" s="14"/>
      <c r="E18" s="14"/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/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/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/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/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49" priority="1" operator="equal">
      <formula>"incomplete"</formula>
    </cfRule>
    <cfRule type="cellIs" dxfId="4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A8C939F-4078-DF45-93FC-2FA284F5EDCF}">
      <formula1>"incomplete, COMPLETED"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8B1B-1910-F347-BA6F-E15953CF06D3}">
  <dimension ref="A1:AZ28"/>
  <sheetViews>
    <sheetView topLeftCell="A6" workbookViewId="0">
      <selection activeCell="AE35" sqref="AE3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118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2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44967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7795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0.29166666666666669</v>
      </c>
      <c r="C15" s="14" t="s">
        <v>97</v>
      </c>
      <c r="D15" s="14">
        <v>85</v>
      </c>
      <c r="E15" s="14">
        <v>267</v>
      </c>
      <c r="F15" s="14"/>
      <c r="G15" s="28">
        <v>6.13</v>
      </c>
      <c r="H15" s="28">
        <v>13.4</v>
      </c>
      <c r="I15" s="18">
        <v>41.3</v>
      </c>
      <c r="J15" s="18">
        <v>23</v>
      </c>
      <c r="K15" s="18">
        <v>5</v>
      </c>
      <c r="L15" s="18"/>
      <c r="M15" s="29">
        <f>L15/(64.5*H15)</f>
        <v>0</v>
      </c>
      <c r="N15" s="30">
        <v>1.1000000000000001</v>
      </c>
      <c r="O15" s="30">
        <v>7.5090000000000003</v>
      </c>
      <c r="P15" s="30">
        <v>26.2</v>
      </c>
      <c r="Q15" s="30">
        <v>80.900000000000006</v>
      </c>
      <c r="R15" s="18">
        <v>31</v>
      </c>
      <c r="S15" s="31">
        <v>44</v>
      </c>
      <c r="T15" s="18">
        <v>110</v>
      </c>
      <c r="U15" s="18">
        <v>0.7</v>
      </c>
      <c r="V15" s="18">
        <v>11.66</v>
      </c>
      <c r="W15" s="18">
        <v>158</v>
      </c>
      <c r="X15" s="18">
        <v>135.08000000000001</v>
      </c>
      <c r="Y15" s="18">
        <v>135.75</v>
      </c>
      <c r="Z15" s="18">
        <v>8</v>
      </c>
      <c r="AA15" s="18"/>
      <c r="AB15" s="18"/>
      <c r="AC15" s="18"/>
      <c r="AD15" s="18"/>
      <c r="AE15" s="18">
        <v>140.4</v>
      </c>
      <c r="AF15" s="32">
        <v>14.7</v>
      </c>
      <c r="AG15" s="32">
        <v>29.1</v>
      </c>
      <c r="AH15" s="32">
        <v>2.2599999999999998</v>
      </c>
    </row>
    <row r="16" spans="1:52" ht="15.95">
      <c r="A16" s="16" t="s">
        <v>98</v>
      </c>
      <c r="B16" s="27">
        <v>0.39374999999999999</v>
      </c>
      <c r="C16" s="14" t="s">
        <v>97</v>
      </c>
      <c r="D16" s="14">
        <v>47</v>
      </c>
      <c r="E16" s="14">
        <v>281</v>
      </c>
      <c r="F16" s="14"/>
      <c r="G16" s="18">
        <v>3.66</v>
      </c>
      <c r="H16" s="18">
        <v>7.9</v>
      </c>
      <c r="I16" s="18">
        <v>24.5</v>
      </c>
      <c r="J16" s="18">
        <v>59</v>
      </c>
      <c r="K16" s="18">
        <v>5.9</v>
      </c>
      <c r="L16" s="18"/>
      <c r="M16" s="29">
        <f t="shared" ref="M16:M25" si="0">L16/(64.5*H16)</f>
        <v>0</v>
      </c>
      <c r="N16" s="30">
        <v>14.6</v>
      </c>
      <c r="O16" s="30">
        <v>7.3330000000000002</v>
      </c>
      <c r="P16" s="30">
        <v>36.299999999999997</v>
      </c>
      <c r="Q16" s="30">
        <v>102</v>
      </c>
      <c r="R16" s="18">
        <v>181</v>
      </c>
      <c r="S16" s="18">
        <v>40</v>
      </c>
      <c r="T16" s="18">
        <v>282</v>
      </c>
      <c r="U16" s="18">
        <v>1.3</v>
      </c>
      <c r="V16" s="18">
        <v>18.420000000000002</v>
      </c>
      <c r="W16" s="18">
        <v>178</v>
      </c>
      <c r="X16" s="18">
        <v>160.91</v>
      </c>
      <c r="Y16" s="18">
        <v>409.4</v>
      </c>
      <c r="Z16" s="18">
        <v>9</v>
      </c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0.40069444444444446</v>
      </c>
      <c r="C17" s="14" t="s">
        <v>97</v>
      </c>
      <c r="D17" s="14">
        <v>71</v>
      </c>
      <c r="E17" s="14">
        <v>242</v>
      </c>
      <c r="F17" s="14"/>
      <c r="G17" s="18">
        <v>4.59</v>
      </c>
      <c r="H17" s="18">
        <v>9.6999999999999993</v>
      </c>
      <c r="I17" s="18">
        <v>30.8</v>
      </c>
      <c r="J17" s="18">
        <v>166</v>
      </c>
      <c r="K17" s="18">
        <v>4.9000000000000004</v>
      </c>
      <c r="L17" s="18"/>
      <c r="M17" s="29">
        <f t="shared" si="0"/>
        <v>0</v>
      </c>
      <c r="N17" s="30">
        <v>14.2</v>
      </c>
      <c r="O17" s="30">
        <v>7.28</v>
      </c>
      <c r="P17" s="30">
        <v>43.8</v>
      </c>
      <c r="Q17" s="30">
        <v>93.9</v>
      </c>
      <c r="R17" s="18">
        <v>158</v>
      </c>
      <c r="S17" s="18">
        <v>39</v>
      </c>
      <c r="T17" s="18">
        <v>308</v>
      </c>
      <c r="U17" s="18">
        <v>1.2</v>
      </c>
      <c r="V17" s="18">
        <v>20.399999999999999</v>
      </c>
      <c r="W17" s="18">
        <v>207</v>
      </c>
      <c r="X17" s="18">
        <v>199.38</v>
      </c>
      <c r="Y17" s="18">
        <v>405.14</v>
      </c>
      <c r="Z17" s="18">
        <v>7</v>
      </c>
      <c r="AA17" s="18"/>
      <c r="AB17" s="18"/>
      <c r="AC17" s="18"/>
      <c r="AD17" s="18"/>
      <c r="AE17" s="18">
        <v>22.5</v>
      </c>
      <c r="AF17" s="32">
        <v>18.2</v>
      </c>
      <c r="AG17" s="32"/>
      <c r="AH17" s="32">
        <v>2.16</v>
      </c>
    </row>
    <row r="18" spans="1:34" ht="15.95">
      <c r="A18" s="34" t="s">
        <v>100</v>
      </c>
      <c r="B18" s="27">
        <v>0.44236111111111109</v>
      </c>
      <c r="C18" s="14" t="s">
        <v>97</v>
      </c>
      <c r="D18" s="14">
        <v>52</v>
      </c>
      <c r="E18" s="14">
        <v>297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8.9</v>
      </c>
      <c r="O18" s="30">
        <v>7.4740000000000002</v>
      </c>
      <c r="P18" s="30">
        <v>43.5</v>
      </c>
      <c r="Q18" s="30">
        <v>89.5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0.48402777777777778</v>
      </c>
      <c r="C19" s="14" t="s">
        <v>97</v>
      </c>
      <c r="D19" s="14">
        <v>71</v>
      </c>
      <c r="E19" s="14">
        <v>248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3.8</v>
      </c>
      <c r="O19" s="30">
        <v>7.5540000000000003</v>
      </c>
      <c r="P19" s="30">
        <v>39.799999999999997</v>
      </c>
      <c r="Q19" s="30">
        <v>86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2.5694444444444443E-2</v>
      </c>
      <c r="C20" s="14" t="s">
        <v>97</v>
      </c>
      <c r="D20" s="14">
        <v>77</v>
      </c>
      <c r="E20" s="14">
        <v>258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2.2999999999999998</v>
      </c>
      <c r="O20" s="30">
        <v>7.5590000000000002</v>
      </c>
      <c r="P20" s="30">
        <v>42.7</v>
      </c>
      <c r="Q20" s="30">
        <v>85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>
        <v>6.7361111111111108E-2</v>
      </c>
      <c r="C21" s="14" t="s">
        <v>97</v>
      </c>
      <c r="D21" s="14">
        <v>86</v>
      </c>
      <c r="E21" s="14">
        <v>229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0.9</v>
      </c>
      <c r="O21" s="30">
        <v>7.5529999999999999</v>
      </c>
      <c r="P21" s="30">
        <v>39.6</v>
      </c>
      <c r="Q21" s="30">
        <v>88.3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>
        <v>7.4305555555555555E-2</v>
      </c>
      <c r="C22" s="14" t="s">
        <v>97</v>
      </c>
      <c r="D22" s="14">
        <v>92</v>
      </c>
      <c r="E22" s="14">
        <v>232</v>
      </c>
      <c r="F22" s="14"/>
      <c r="G22" s="18">
        <v>5.31</v>
      </c>
      <c r="H22" s="18">
        <v>11.1</v>
      </c>
      <c r="I22" s="18">
        <v>35.4</v>
      </c>
      <c r="J22" s="18">
        <v>155</v>
      </c>
      <c r="K22" s="18">
        <v>3.3</v>
      </c>
      <c r="L22" s="18"/>
      <c r="M22" s="29">
        <f t="shared" si="0"/>
        <v>0</v>
      </c>
      <c r="N22" s="30">
        <v>1</v>
      </c>
      <c r="O22" s="30">
        <v>7.5439999999999996</v>
      </c>
      <c r="P22" s="30">
        <v>42.6</v>
      </c>
      <c r="Q22" s="30">
        <v>83</v>
      </c>
      <c r="R22" s="18">
        <v>650</v>
      </c>
      <c r="S22" s="18">
        <v>198</v>
      </c>
      <c r="T22" s="18">
        <v>945</v>
      </c>
      <c r="U22" s="18">
        <v>0.9</v>
      </c>
      <c r="V22" s="18">
        <v>18.489999999999998</v>
      </c>
      <c r="W22" s="18">
        <v>228</v>
      </c>
      <c r="X22" s="18">
        <v>182.13</v>
      </c>
      <c r="Y22" s="18">
        <v>129.63</v>
      </c>
      <c r="Z22" s="18">
        <v>11</v>
      </c>
      <c r="AA22" s="9"/>
      <c r="AB22" s="9"/>
      <c r="AC22" s="9"/>
      <c r="AD22" s="9"/>
      <c r="AE22" s="9">
        <v>130.6</v>
      </c>
      <c r="AF22" s="9">
        <v>15.4</v>
      </c>
      <c r="AG22" s="32">
        <v>20.6</v>
      </c>
      <c r="AH22" s="32">
        <v>1.57</v>
      </c>
    </row>
    <row r="23" spans="1:34" ht="15.95">
      <c r="A23" s="16" t="s">
        <v>105</v>
      </c>
      <c r="B23" s="27">
        <v>0.40069444444444446</v>
      </c>
      <c r="C23" s="14" t="s">
        <v>97</v>
      </c>
      <c r="D23" s="14">
        <v>74</v>
      </c>
      <c r="E23" s="14">
        <v>278</v>
      </c>
      <c r="F23" s="14"/>
      <c r="G23" s="18">
        <v>5.16</v>
      </c>
      <c r="H23" s="18">
        <v>11.5</v>
      </c>
      <c r="I23" s="18">
        <v>34.700000000000003</v>
      </c>
      <c r="J23" s="18">
        <v>14</v>
      </c>
      <c r="K23" s="18">
        <v>5.2</v>
      </c>
      <c r="L23" s="18"/>
      <c r="M23" s="29">
        <f t="shared" si="0"/>
        <v>0</v>
      </c>
      <c r="N23" s="30">
        <v>1.5</v>
      </c>
      <c r="O23" s="30">
        <v>7.5190000000000001</v>
      </c>
      <c r="P23" s="30">
        <v>36.799999999999997</v>
      </c>
      <c r="Q23" s="30">
        <v>95.8</v>
      </c>
      <c r="R23" s="18">
        <v>434</v>
      </c>
      <c r="S23" s="18">
        <v>188</v>
      </c>
      <c r="T23" s="18">
        <v>220</v>
      </c>
      <c r="U23" s="18">
        <v>0.6</v>
      </c>
      <c r="V23" s="18">
        <v>16.14</v>
      </c>
      <c r="W23" s="18">
        <v>364</v>
      </c>
      <c r="X23" s="18">
        <v>205.56</v>
      </c>
      <c r="Y23" s="18">
        <v>139.87</v>
      </c>
      <c r="Z23" s="18">
        <v>19</v>
      </c>
      <c r="AA23" s="9"/>
      <c r="AB23" s="9"/>
      <c r="AC23" s="9"/>
      <c r="AD23" s="9"/>
      <c r="AE23" s="9">
        <v>137.30000000000001</v>
      </c>
      <c r="AF23" s="9">
        <v>11.4</v>
      </c>
      <c r="AG23" s="32">
        <v>19.7</v>
      </c>
      <c r="AH23" s="32">
        <v>2.42</v>
      </c>
    </row>
    <row r="24" spans="1:34" ht="15.95">
      <c r="A24" s="16" t="s">
        <v>106</v>
      </c>
      <c r="B24" s="27">
        <v>0.40069444444444446</v>
      </c>
      <c r="C24" s="14" t="s">
        <v>97</v>
      </c>
      <c r="D24" s="14">
        <v>75</v>
      </c>
      <c r="E24" s="14">
        <v>274</v>
      </c>
      <c r="F24" s="14"/>
      <c r="G24" s="18">
        <v>5.22</v>
      </c>
      <c r="H24" s="18">
        <v>11.3</v>
      </c>
      <c r="I24" s="18">
        <v>35.4</v>
      </c>
      <c r="J24" s="18">
        <v>282</v>
      </c>
      <c r="K24" s="18">
        <v>7.9</v>
      </c>
      <c r="L24" s="18"/>
      <c r="M24" s="29">
        <f t="shared" si="0"/>
        <v>0</v>
      </c>
      <c r="N24" s="30">
        <v>2.1</v>
      </c>
      <c r="O24" s="30">
        <v>7.4930000000000003</v>
      </c>
      <c r="P24" s="30">
        <v>34.6</v>
      </c>
      <c r="Q24" s="30">
        <v>87</v>
      </c>
      <c r="R24" s="18">
        <v>219</v>
      </c>
      <c r="S24" s="18">
        <v>122</v>
      </c>
      <c r="T24" s="18">
        <v>57</v>
      </c>
      <c r="U24" s="18">
        <v>0.9</v>
      </c>
      <c r="V24" s="18">
        <v>16.09</v>
      </c>
      <c r="W24" s="18">
        <v>285</v>
      </c>
      <c r="X24" s="18">
        <v>201</v>
      </c>
      <c r="Y24" s="18">
        <v>133.5</v>
      </c>
      <c r="Z24" s="18">
        <v>20</v>
      </c>
      <c r="AA24" s="9"/>
      <c r="AB24" s="9"/>
      <c r="AC24" s="9"/>
      <c r="AD24" s="9"/>
      <c r="AE24" s="9">
        <v>139.4</v>
      </c>
      <c r="AF24" s="9">
        <v>12.3</v>
      </c>
      <c r="AG24" s="32">
        <v>17.5</v>
      </c>
      <c r="AH24" s="32">
        <v>1.74</v>
      </c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47" priority="1" operator="equal">
      <formula>"incomplete"</formula>
    </cfRule>
    <cfRule type="cellIs" dxfId="4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B988F2CA-B40E-AA47-8B24-4C91E0A609B1}">
      <formula1>"incomplete,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0325-52FF-BA40-95AE-63E72FF91034}">
  <dimension ref="A1:AZ28"/>
  <sheetViews>
    <sheetView workbookViewId="0">
      <selection activeCell="F19" sqref="F1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119</v>
      </c>
      <c r="C4" s="53"/>
      <c r="D4" s="5"/>
      <c r="E4" s="4" t="s">
        <v>4</v>
      </c>
      <c r="F4" s="54"/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2.0099999999999998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44967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7590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0.31805555555555554</v>
      </c>
      <c r="C15" s="14" t="s">
        <v>97</v>
      </c>
      <c r="D15" s="14">
        <v>237</v>
      </c>
      <c r="E15" s="14">
        <v>237</v>
      </c>
      <c r="F15" s="14"/>
      <c r="G15" s="28">
        <v>5.34</v>
      </c>
      <c r="H15" s="28">
        <v>11.1</v>
      </c>
      <c r="I15" s="18">
        <v>35</v>
      </c>
      <c r="J15" s="18">
        <v>52</v>
      </c>
      <c r="K15" s="18">
        <v>7.4</v>
      </c>
      <c r="L15" s="18"/>
      <c r="M15" s="29">
        <f>L15/(64.5*H15)</f>
        <v>0</v>
      </c>
      <c r="N15" s="30">
        <v>1.2</v>
      </c>
      <c r="O15" s="30">
        <v>7.4550000000000001</v>
      </c>
      <c r="P15" s="30">
        <v>41</v>
      </c>
      <c r="Q15" s="30">
        <v>83.8</v>
      </c>
      <c r="R15" s="18">
        <v>36</v>
      </c>
      <c r="S15" s="31">
        <v>36</v>
      </c>
      <c r="T15" s="18">
        <v>186</v>
      </c>
      <c r="U15" s="18">
        <v>0.7</v>
      </c>
      <c r="V15" s="18">
        <v>12.02</v>
      </c>
      <c r="W15" s="18">
        <v>180</v>
      </c>
      <c r="X15" s="18">
        <v>260.20999999999998</v>
      </c>
      <c r="Y15" s="18">
        <v>132.87</v>
      </c>
      <c r="Z15" s="18">
        <v>8</v>
      </c>
      <c r="AA15" s="18"/>
      <c r="AB15" s="18"/>
      <c r="AC15" s="18"/>
      <c r="AD15" s="18"/>
      <c r="AE15" s="18"/>
      <c r="AF15" s="32"/>
      <c r="AG15" s="32"/>
      <c r="AH15" s="32"/>
    </row>
    <row r="16" spans="1:52" ht="15.95">
      <c r="A16" s="16" t="s">
        <v>98</v>
      </c>
      <c r="B16" s="27">
        <v>0.40138888888888891</v>
      </c>
      <c r="C16" s="14" t="s">
        <v>97</v>
      </c>
      <c r="D16" s="14">
        <v>238</v>
      </c>
      <c r="E16" s="14">
        <v>238</v>
      </c>
      <c r="F16" s="14"/>
      <c r="G16" s="18">
        <v>4.0199999999999996</v>
      </c>
      <c r="H16" s="18">
        <v>8.3000000000000007</v>
      </c>
      <c r="I16" s="18">
        <v>26</v>
      </c>
      <c r="J16" s="18">
        <v>180</v>
      </c>
      <c r="K16" s="18">
        <v>6</v>
      </c>
      <c r="L16" s="18"/>
      <c r="M16" s="29">
        <f t="shared" ref="M16:M25" si="0">L16/(64.5*H16)</f>
        <v>0</v>
      </c>
      <c r="N16" s="30">
        <v>3.5</v>
      </c>
      <c r="O16" s="30">
        <v>7.4809999999999999</v>
      </c>
      <c r="P16" s="30">
        <v>49</v>
      </c>
      <c r="Q16" s="30">
        <v>71.8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 t="s">
        <v>120</v>
      </c>
      <c r="C17" s="14" t="s">
        <v>97</v>
      </c>
      <c r="D17" s="14">
        <v>200</v>
      </c>
      <c r="E17" s="14">
        <v>200</v>
      </c>
      <c r="F17" s="14"/>
      <c r="G17" s="18">
        <v>4.09</v>
      </c>
      <c r="H17" s="18">
        <v>8.5</v>
      </c>
      <c r="I17" s="18">
        <v>26.7</v>
      </c>
      <c r="J17" s="18">
        <v>86</v>
      </c>
      <c r="K17" s="18">
        <v>8.5</v>
      </c>
      <c r="L17" s="18"/>
      <c r="M17" s="29">
        <f t="shared" si="0"/>
        <v>0</v>
      </c>
      <c r="N17" s="30">
        <v>2.8</v>
      </c>
      <c r="O17" s="30"/>
      <c r="P17" s="30"/>
      <c r="Q17" s="30"/>
      <c r="R17" s="18">
        <v>34</v>
      </c>
      <c r="S17" s="18">
        <v>35</v>
      </c>
      <c r="T17" s="18">
        <v>138</v>
      </c>
      <c r="U17" s="18">
        <v>1.2</v>
      </c>
      <c r="V17" s="18">
        <v>15.36</v>
      </c>
      <c r="W17" s="18">
        <v>143</v>
      </c>
      <c r="X17" s="18">
        <v>191.56</v>
      </c>
      <c r="Y17" s="18">
        <v>221.75</v>
      </c>
      <c r="Z17" s="18">
        <v>6</v>
      </c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100</v>
      </c>
      <c r="B18" s="27">
        <v>0.46388888888888891</v>
      </c>
      <c r="C18" s="14" t="s">
        <v>97</v>
      </c>
      <c r="D18" s="14">
        <v>219</v>
      </c>
      <c r="E18" s="14">
        <v>219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2.2999999999999998</v>
      </c>
      <c r="O18" s="30">
        <v>7.4850000000000003</v>
      </c>
      <c r="P18" s="30">
        <v>47.7</v>
      </c>
      <c r="Q18" s="30">
        <v>67.900000000000006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>
        <v>0.50555555555555554</v>
      </c>
      <c r="C19" s="14" t="s">
        <v>97</v>
      </c>
      <c r="D19" s="14">
        <v>209</v>
      </c>
      <c r="E19" s="14">
        <v>209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1.4</v>
      </c>
      <c r="O19" s="30">
        <v>7.4960000000000004</v>
      </c>
      <c r="P19" s="30">
        <v>48.5</v>
      </c>
      <c r="Q19" s="30">
        <v>63.6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>
        <v>0.54722222222222228</v>
      </c>
      <c r="C20" s="14" t="s">
        <v>97</v>
      </c>
      <c r="D20" s="14">
        <v>214</v>
      </c>
      <c r="E20" s="14">
        <v>214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1.4</v>
      </c>
      <c r="O20" s="30">
        <v>7.4640000000000004</v>
      </c>
      <c r="P20" s="30">
        <v>47.4</v>
      </c>
      <c r="Q20" s="30">
        <v>79.3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 t="s">
        <v>121</v>
      </c>
      <c r="C21" s="14" t="s">
        <v>97</v>
      </c>
      <c r="D21" s="14">
        <v>230</v>
      </c>
      <c r="E21" s="14">
        <v>230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 t="s">
        <v>122</v>
      </c>
      <c r="O21" s="30">
        <v>7.4470000000000001</v>
      </c>
      <c r="P21" s="30">
        <v>45.6</v>
      </c>
      <c r="Q21" s="30">
        <v>79.599999999999994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 t="s">
        <v>123</v>
      </c>
      <c r="C22" s="14" t="s">
        <v>97</v>
      </c>
      <c r="D22" s="14">
        <v>219</v>
      </c>
      <c r="E22" s="14">
        <v>219</v>
      </c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>
        <v>1.8</v>
      </c>
      <c r="O22" s="30">
        <v>7.4530000000000003</v>
      </c>
      <c r="P22" s="30">
        <v>45.1</v>
      </c>
      <c r="Q22" s="30">
        <v>82.2</v>
      </c>
      <c r="R22" s="18">
        <v>42</v>
      </c>
      <c r="S22" s="18">
        <v>45</v>
      </c>
      <c r="T22" s="18">
        <v>193</v>
      </c>
      <c r="U22" s="18">
        <v>0.4</v>
      </c>
      <c r="V22" s="18">
        <v>22.66</v>
      </c>
      <c r="W22" s="18">
        <v>188</v>
      </c>
      <c r="X22" s="18">
        <v>225.86</v>
      </c>
      <c r="Y22" s="18">
        <v>124.52</v>
      </c>
      <c r="Z22" s="18">
        <v>10</v>
      </c>
      <c r="AA22" s="9"/>
      <c r="AB22" s="9"/>
      <c r="AC22" s="9"/>
      <c r="AD22" s="9"/>
      <c r="AE22" s="9">
        <v>136.80000000000001</v>
      </c>
      <c r="AF22" s="9">
        <v>13.3</v>
      </c>
      <c r="AG22" s="32">
        <v>93.8</v>
      </c>
      <c r="AH22" s="32">
        <v>3.07</v>
      </c>
    </row>
    <row r="23" spans="1:34" ht="15.95">
      <c r="A23" s="16" t="s">
        <v>105</v>
      </c>
      <c r="B23" s="27" t="s">
        <v>124</v>
      </c>
      <c r="C23" s="14" t="s">
        <v>97</v>
      </c>
      <c r="D23" s="14">
        <v>288</v>
      </c>
      <c r="E23" s="14">
        <v>288</v>
      </c>
      <c r="F23" s="14"/>
      <c r="G23" s="18">
        <v>4.9000000000000004</v>
      </c>
      <c r="H23" s="18">
        <v>10.3</v>
      </c>
      <c r="I23" s="18">
        <v>31.9</v>
      </c>
      <c r="J23" s="18">
        <v>29</v>
      </c>
      <c r="K23" s="18">
        <v>6.3</v>
      </c>
      <c r="L23" s="18"/>
      <c r="M23" s="29">
        <f t="shared" si="0"/>
        <v>0</v>
      </c>
      <c r="N23" s="30">
        <v>2.2999999999999998</v>
      </c>
      <c r="O23" s="30">
        <v>7.4470000000000001</v>
      </c>
      <c r="P23" s="30">
        <v>43.3</v>
      </c>
      <c r="Q23" s="30">
        <v>77.8</v>
      </c>
      <c r="R23" s="18">
        <v>59</v>
      </c>
      <c r="S23" s="18">
        <v>57</v>
      </c>
      <c r="T23" s="18">
        <v>205</v>
      </c>
      <c r="U23" s="18">
        <v>0.5</v>
      </c>
      <c r="V23" s="18">
        <v>13.35</v>
      </c>
      <c r="W23" s="18">
        <v>223</v>
      </c>
      <c r="X23" s="18">
        <v>172.36</v>
      </c>
      <c r="Y23" s="18">
        <v>165.36</v>
      </c>
      <c r="Z23" s="18">
        <v>10</v>
      </c>
      <c r="AA23" s="9"/>
      <c r="AB23" s="9"/>
      <c r="AC23" s="9"/>
      <c r="AD23" s="9"/>
      <c r="AE23" s="9"/>
      <c r="AF23" s="9">
        <v>55.6</v>
      </c>
      <c r="AG23" s="32"/>
      <c r="AH23" s="32"/>
    </row>
    <row r="24" spans="1:34" ht="15.95">
      <c r="A24" s="16" t="s">
        <v>106</v>
      </c>
      <c r="B24" s="27" t="s">
        <v>124</v>
      </c>
      <c r="C24" s="14" t="s">
        <v>97</v>
      </c>
      <c r="D24" s="14">
        <v>262</v>
      </c>
      <c r="E24" s="14">
        <v>262</v>
      </c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>
        <v>2.9</v>
      </c>
      <c r="O24" s="30">
        <v>7.4470000000000001</v>
      </c>
      <c r="P24" s="30">
        <v>39.5</v>
      </c>
      <c r="Q24" s="30">
        <v>80.3</v>
      </c>
      <c r="R24" s="18">
        <v>22</v>
      </c>
      <c r="S24" s="18">
        <v>44</v>
      </c>
      <c r="T24" s="18">
        <v>141</v>
      </c>
      <c r="U24" s="18">
        <v>0.7</v>
      </c>
      <c r="V24" s="18">
        <v>12.1</v>
      </c>
      <c r="W24" s="18">
        <v>194</v>
      </c>
      <c r="X24" s="18">
        <v>91.8</v>
      </c>
      <c r="Y24" s="18">
        <v>132.09</v>
      </c>
      <c r="Z24" s="18">
        <v>7</v>
      </c>
      <c r="AA24" s="9"/>
      <c r="AB24" s="9"/>
      <c r="AC24" s="9"/>
      <c r="AD24" s="9"/>
      <c r="AE24" s="9">
        <v>138.9</v>
      </c>
      <c r="AF24" s="9">
        <v>17</v>
      </c>
      <c r="AG24" s="32">
        <v>74.400000000000006</v>
      </c>
      <c r="AH24" s="32">
        <v>2.58</v>
      </c>
    </row>
    <row r="25" spans="1:34" ht="15.95">
      <c r="A25" s="16"/>
      <c r="B25" s="27"/>
      <c r="C25" s="14"/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A1:F2"/>
    <mergeCell ref="G1:M2"/>
    <mergeCell ref="B4:C4"/>
    <mergeCell ref="F4:G4"/>
    <mergeCell ref="B5:C5"/>
    <mergeCell ref="F5:G5"/>
    <mergeCell ref="B9:C9"/>
    <mergeCell ref="G12:K12"/>
    <mergeCell ref="N12:Q12"/>
    <mergeCell ref="R12:Z12"/>
    <mergeCell ref="AA12:AD12"/>
  </mergeCells>
  <conditionalFormatting sqref="D11:AZ11">
    <cfRule type="cellIs" dxfId="45" priority="1" operator="equal">
      <formula>"incomplete"</formula>
    </cfRule>
    <cfRule type="cellIs" dxfId="4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C415C8A-9C23-164B-A50A-550B7735726B}">
      <formula1>"incomplete,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9A47-8664-D848-951C-6F7F69D5F6EB}">
  <dimension ref="A1:AZ28"/>
  <sheetViews>
    <sheetView topLeftCell="X2" workbookViewId="0">
      <selection activeCell="F28" sqref="F28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125</v>
      </c>
      <c r="C4" s="53"/>
      <c r="D4" s="5"/>
      <c r="E4" s="4" t="s">
        <v>4</v>
      </c>
      <c r="F4" s="54"/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2.08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/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58.24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58.24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7590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0.2951388888888889</v>
      </c>
      <c r="C15" s="14" t="s">
        <v>97</v>
      </c>
      <c r="D15" s="14">
        <v>76</v>
      </c>
      <c r="E15" s="14">
        <v>258</v>
      </c>
      <c r="F15" s="14"/>
      <c r="G15" s="28">
        <v>6.16</v>
      </c>
      <c r="H15" s="28">
        <v>12</v>
      </c>
      <c r="I15" s="18">
        <v>37.1</v>
      </c>
      <c r="J15" s="18">
        <v>34</v>
      </c>
      <c r="K15" s="18">
        <v>5.9</v>
      </c>
      <c r="L15" s="18"/>
      <c r="M15" s="29">
        <f>L15/(64.5*H15)</f>
        <v>0</v>
      </c>
      <c r="N15" s="30">
        <v>2.4</v>
      </c>
      <c r="O15" s="30">
        <v>7.5460000000000003</v>
      </c>
      <c r="P15" s="30">
        <v>32.4</v>
      </c>
      <c r="Q15" s="30">
        <v>93.2</v>
      </c>
      <c r="R15" s="18">
        <v>44</v>
      </c>
      <c r="S15" s="31">
        <v>59</v>
      </c>
      <c r="T15" s="18">
        <v>173</v>
      </c>
      <c r="U15" s="18">
        <v>0.5</v>
      </c>
      <c r="V15" s="18">
        <v>18.29</v>
      </c>
      <c r="W15" s="18">
        <v>254</v>
      </c>
      <c r="X15" s="18">
        <v>119.47</v>
      </c>
      <c r="Y15" s="18">
        <v>130.65</v>
      </c>
      <c r="Z15" s="18">
        <v>14</v>
      </c>
      <c r="AA15" s="18"/>
      <c r="AB15" s="18"/>
      <c r="AC15" s="18"/>
      <c r="AD15" s="18"/>
      <c r="AE15" s="18">
        <v>135.1</v>
      </c>
      <c r="AF15" s="32">
        <v>9.3000000000000007</v>
      </c>
      <c r="AG15" s="32">
        <v>17.7</v>
      </c>
      <c r="AH15" s="32">
        <v>1.44</v>
      </c>
    </row>
    <row r="16" spans="1:52" ht="15.95">
      <c r="A16" s="16" t="s">
        <v>98</v>
      </c>
      <c r="B16" s="27">
        <v>0.41875000000000001</v>
      </c>
      <c r="C16" s="14" t="s">
        <v>97</v>
      </c>
      <c r="D16" s="14">
        <v>36</v>
      </c>
      <c r="E16" s="14">
        <v>198</v>
      </c>
      <c r="F16" s="14"/>
      <c r="G16" s="18">
        <v>4.41</v>
      </c>
      <c r="H16" s="18">
        <v>8.4</v>
      </c>
      <c r="I16" s="18">
        <v>26.4</v>
      </c>
      <c r="J16" s="18">
        <v>155</v>
      </c>
      <c r="K16" s="18">
        <v>3.7</v>
      </c>
      <c r="L16" s="18"/>
      <c r="M16" s="29">
        <f t="shared" ref="M16:M25" si="0">L16/(64.5*H16)</f>
        <v>0</v>
      </c>
      <c r="N16" s="30">
        <v>9.4</v>
      </c>
      <c r="O16" s="30">
        <v>7.3949999999999996</v>
      </c>
      <c r="P16" s="30">
        <v>34.9</v>
      </c>
      <c r="Q16" s="30">
        <v>81.400000000000006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0.4236111111111111</v>
      </c>
      <c r="C17" s="14" t="s">
        <v>97</v>
      </c>
      <c r="D17" s="14">
        <v>40</v>
      </c>
      <c r="E17" s="14">
        <v>293</v>
      </c>
      <c r="F17" s="14"/>
      <c r="G17" s="18">
        <v>4.97</v>
      </c>
      <c r="H17" s="18">
        <v>9.5</v>
      </c>
      <c r="I17" s="18">
        <v>30.2</v>
      </c>
      <c r="J17" s="18">
        <v>136</v>
      </c>
      <c r="K17" s="18">
        <v>4.5999999999999996</v>
      </c>
      <c r="L17" s="18"/>
      <c r="M17" s="29">
        <f t="shared" si="0"/>
        <v>0</v>
      </c>
      <c r="N17" s="30">
        <v>9.3000000000000007</v>
      </c>
      <c r="O17" s="30">
        <v>7.3819999999999997</v>
      </c>
      <c r="P17" s="30">
        <v>36.299999999999997</v>
      </c>
      <c r="Q17" s="30">
        <v>84.7</v>
      </c>
      <c r="R17" s="18">
        <v>60</v>
      </c>
      <c r="S17" s="18">
        <v>54</v>
      </c>
      <c r="T17" s="18">
        <v>229</v>
      </c>
      <c r="U17" s="18">
        <v>1.2</v>
      </c>
      <c r="V17" s="18">
        <v>29.36</v>
      </c>
      <c r="W17" s="18">
        <v>208</v>
      </c>
      <c r="X17" s="18">
        <v>187.43</v>
      </c>
      <c r="Y17" s="18">
        <v>262.38</v>
      </c>
      <c r="Z17" s="18">
        <v>9</v>
      </c>
      <c r="AA17" s="18"/>
      <c r="AB17" s="18"/>
      <c r="AC17" s="18"/>
      <c r="AD17" s="18"/>
      <c r="AE17" s="18">
        <v>120.6</v>
      </c>
      <c r="AF17" s="32">
        <v>12.5</v>
      </c>
      <c r="AG17" s="32"/>
      <c r="AH17" s="32">
        <v>3.86</v>
      </c>
    </row>
    <row r="18" spans="1:34" ht="15.95">
      <c r="A18" s="34" t="s">
        <v>126</v>
      </c>
      <c r="B18" s="27">
        <v>0.46527777777777779</v>
      </c>
      <c r="C18" s="14" t="s">
        <v>97</v>
      </c>
      <c r="D18" s="14">
        <v>43</v>
      </c>
      <c r="E18" s="14">
        <v>260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3.4</v>
      </c>
      <c r="O18" s="30">
        <v>7.47</v>
      </c>
      <c r="P18" s="30">
        <v>40.4</v>
      </c>
      <c r="Q18" s="30">
        <v>87.8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127</v>
      </c>
      <c r="B19" s="27">
        <v>6.9444444444444441E-3</v>
      </c>
      <c r="C19" s="14" t="s">
        <v>97</v>
      </c>
      <c r="D19" s="14">
        <v>44</v>
      </c>
      <c r="E19" s="14">
        <v>259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1</v>
      </c>
      <c r="O19" s="30">
        <v>7.5209999999999999</v>
      </c>
      <c r="P19" s="30">
        <v>37.200000000000003</v>
      </c>
      <c r="Q19" s="30">
        <v>85.2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0.54861111111111116</v>
      </c>
      <c r="C20" s="14" t="s">
        <v>97</v>
      </c>
      <c r="D20" s="14">
        <v>65</v>
      </c>
      <c r="E20" s="14">
        <v>264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0.9</v>
      </c>
      <c r="O20" s="30">
        <v>7.5259999999999998</v>
      </c>
      <c r="P20" s="30">
        <v>37.9</v>
      </c>
      <c r="Q20" s="30">
        <v>88.4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0.54861111111111116</v>
      </c>
      <c r="C21" s="14" t="s">
        <v>97</v>
      </c>
      <c r="D21" s="14">
        <v>51</v>
      </c>
      <c r="E21" s="14">
        <v>240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0.7</v>
      </c>
      <c r="O21" s="30">
        <v>7.5049999999999999</v>
      </c>
      <c r="P21" s="30">
        <v>39</v>
      </c>
      <c r="Q21" s="30">
        <v>88.7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128</v>
      </c>
      <c r="B22" s="27">
        <v>0.63194444444444442</v>
      </c>
      <c r="C22" s="14" t="s">
        <v>97</v>
      </c>
      <c r="D22" s="14">
        <v>58</v>
      </c>
      <c r="E22" s="14">
        <v>260</v>
      </c>
      <c r="F22" s="14"/>
      <c r="G22" s="18">
        <v>5.27</v>
      </c>
      <c r="H22" s="18">
        <v>10</v>
      </c>
      <c r="I22" s="18">
        <v>31.7</v>
      </c>
      <c r="J22" s="18">
        <v>174</v>
      </c>
      <c r="K22" s="18">
        <v>6.1</v>
      </c>
      <c r="L22" s="18"/>
      <c r="M22" s="29">
        <f t="shared" si="0"/>
        <v>0</v>
      </c>
      <c r="N22" s="30">
        <v>0.8</v>
      </c>
      <c r="O22" s="30">
        <v>7.4930000000000003</v>
      </c>
      <c r="P22" s="30">
        <v>40</v>
      </c>
      <c r="Q22" s="30">
        <v>84</v>
      </c>
      <c r="R22" s="18">
        <v>119</v>
      </c>
      <c r="S22" s="18">
        <v>72</v>
      </c>
      <c r="T22" s="18">
        <v>361</v>
      </c>
      <c r="U22" s="18">
        <v>0.9</v>
      </c>
      <c r="V22" s="18">
        <v>23.57</v>
      </c>
      <c r="W22" s="18">
        <v>237</v>
      </c>
      <c r="X22" s="18">
        <v>181.75</v>
      </c>
      <c r="Y22" s="18">
        <v>132.75</v>
      </c>
      <c r="Z22" s="18">
        <v>14</v>
      </c>
      <c r="AA22" s="9"/>
      <c r="AB22" s="9"/>
      <c r="AC22" s="9"/>
      <c r="AD22" s="9"/>
      <c r="AE22" s="9">
        <v>104.9</v>
      </c>
      <c r="AF22" s="9">
        <v>9.1</v>
      </c>
      <c r="AG22" s="32">
        <v>19</v>
      </c>
      <c r="AH22" s="32">
        <v>1.28</v>
      </c>
    </row>
    <row r="23" spans="1:34" ht="15.95">
      <c r="A23" s="16" t="s">
        <v>105</v>
      </c>
      <c r="B23" s="27">
        <v>0.4236111111111111</v>
      </c>
      <c r="C23" s="14" t="s">
        <v>97</v>
      </c>
      <c r="D23" s="14">
        <v>80</v>
      </c>
      <c r="E23" s="14">
        <v>276</v>
      </c>
      <c r="F23" s="14"/>
      <c r="G23" s="18">
        <v>5.49</v>
      </c>
      <c r="H23" s="18">
        <v>10.5</v>
      </c>
      <c r="I23" s="18">
        <v>33.200000000000003</v>
      </c>
      <c r="J23" s="18">
        <v>200</v>
      </c>
      <c r="K23" s="18">
        <v>5.8</v>
      </c>
      <c r="L23" s="18"/>
      <c r="M23" s="29">
        <f t="shared" si="0"/>
        <v>0</v>
      </c>
      <c r="N23" s="30">
        <v>2.8</v>
      </c>
      <c r="O23" s="30">
        <v>7.4779999999999998</v>
      </c>
      <c r="P23" s="30">
        <v>37.200000000000003</v>
      </c>
      <c r="Q23" s="30">
        <v>84.5</v>
      </c>
      <c r="R23" s="18">
        <v>70</v>
      </c>
      <c r="S23" s="18">
        <v>121</v>
      </c>
      <c r="T23" s="18">
        <v>288</v>
      </c>
      <c r="U23" s="18">
        <v>0.8</v>
      </c>
      <c r="V23" s="18">
        <v>18.7</v>
      </c>
      <c r="W23" s="18">
        <v>289</v>
      </c>
      <c r="X23" s="18">
        <v>190.11</v>
      </c>
      <c r="Y23" s="18">
        <v>119.85</v>
      </c>
      <c r="Z23" s="18">
        <v>15</v>
      </c>
      <c r="AA23" s="9"/>
      <c r="AB23" s="9"/>
      <c r="AC23" s="9"/>
      <c r="AD23" s="9"/>
      <c r="AE23" s="9">
        <v>137.4</v>
      </c>
      <c r="AF23" s="9">
        <v>9.8000000000000007</v>
      </c>
      <c r="AG23" s="32">
        <v>33.299999999999997</v>
      </c>
      <c r="AH23" s="32">
        <v>2.0699999999999998</v>
      </c>
    </row>
    <row r="24" spans="1:34" ht="15.95">
      <c r="A24" s="16" t="s">
        <v>106</v>
      </c>
      <c r="B24" s="27">
        <v>0.4236111111111111</v>
      </c>
      <c r="C24" s="14" t="s">
        <v>97</v>
      </c>
      <c r="D24" s="14">
        <v>69</v>
      </c>
      <c r="E24" s="14">
        <v>254</v>
      </c>
      <c r="F24" s="14"/>
      <c r="G24" s="18">
        <v>5.24</v>
      </c>
      <c r="H24" s="18">
        <v>10.1</v>
      </c>
      <c r="I24" s="18">
        <v>31.7</v>
      </c>
      <c r="J24" s="18">
        <v>236</v>
      </c>
      <c r="K24" s="18">
        <v>4.8</v>
      </c>
      <c r="L24" s="18"/>
      <c r="M24" s="29">
        <f t="shared" si="0"/>
        <v>0</v>
      </c>
      <c r="N24" s="30">
        <v>6</v>
      </c>
      <c r="O24" s="30">
        <v>7.4130000000000003</v>
      </c>
      <c r="P24" s="30">
        <v>34.5</v>
      </c>
      <c r="Q24" s="30">
        <v>88.7</v>
      </c>
      <c r="R24" s="18">
        <v>27</v>
      </c>
      <c r="S24" s="18">
        <v>81</v>
      </c>
      <c r="T24" s="18">
        <v>75</v>
      </c>
      <c r="U24" s="18">
        <v>0.8</v>
      </c>
      <c r="V24" s="18">
        <v>17.350000000000001</v>
      </c>
      <c r="W24" s="18">
        <v>292</v>
      </c>
      <c r="X24" s="18">
        <v>97.58</v>
      </c>
      <c r="Y24" s="18">
        <v>125.95</v>
      </c>
      <c r="Z24" s="18">
        <v>13</v>
      </c>
      <c r="AA24" s="9"/>
      <c r="AB24" s="9"/>
      <c r="AC24" s="9"/>
      <c r="AD24" s="9"/>
      <c r="AE24" s="9">
        <v>19.5</v>
      </c>
      <c r="AF24" s="9">
        <v>12.3</v>
      </c>
      <c r="AG24" s="32"/>
      <c r="AH24" s="32">
        <v>0.96</v>
      </c>
    </row>
    <row r="25" spans="1:34" ht="15.95">
      <c r="A25" s="16"/>
      <c r="B25" s="27"/>
      <c r="C25" s="14"/>
      <c r="D25" s="14"/>
      <c r="E25" s="14"/>
      <c r="F25" s="14"/>
      <c r="G25" s="18"/>
      <c r="H25" s="18"/>
      <c r="I25" s="18"/>
      <c r="J25" s="18"/>
      <c r="K25" s="18"/>
      <c r="L25" s="18"/>
      <c r="M25" s="29"/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43" priority="1" operator="equal">
      <formula>"incomplete"</formula>
    </cfRule>
    <cfRule type="cellIs" dxfId="4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BAF1BF99-C483-0342-87B4-10215BCB78F7}">
      <formula1>"incomplete, COMPLETED"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DF0E-E0ED-9A49-A2F3-C1AC0CA65E61}">
  <dimension ref="A1:AZ28"/>
  <sheetViews>
    <sheetView workbookViewId="0">
      <selection activeCell="A15" sqref="A15:A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129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2.1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/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58.8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58.8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7807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 thickBo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0.2986111111111111</v>
      </c>
      <c r="C15" s="14" t="s">
        <v>97</v>
      </c>
      <c r="D15" s="14">
        <v>70</v>
      </c>
      <c r="E15" s="14">
        <v>214</v>
      </c>
      <c r="F15" s="14"/>
      <c r="G15" s="28">
        <v>5.29</v>
      </c>
      <c r="H15" s="28">
        <v>11.1</v>
      </c>
      <c r="I15" s="18">
        <v>35.1</v>
      </c>
      <c r="J15" s="18">
        <v>208</v>
      </c>
      <c r="K15" s="18">
        <v>5.2</v>
      </c>
      <c r="L15" s="18"/>
      <c r="M15" s="29">
        <f>L15/(64.5*H15)</f>
        <v>0</v>
      </c>
      <c r="N15" s="30">
        <v>2</v>
      </c>
      <c r="O15" s="30">
        <v>7.47</v>
      </c>
      <c r="P15" s="30">
        <v>37.1</v>
      </c>
      <c r="Q15" s="30">
        <v>83.8</v>
      </c>
      <c r="R15" s="18">
        <v>72</v>
      </c>
      <c r="S15" s="31">
        <v>77</v>
      </c>
      <c r="T15" s="18">
        <v>137</v>
      </c>
      <c r="U15" s="18">
        <v>0.6</v>
      </c>
      <c r="V15" s="18">
        <v>16.62</v>
      </c>
      <c r="W15" s="18">
        <v>136</v>
      </c>
      <c r="X15" s="18">
        <v>69.2</v>
      </c>
      <c r="Y15" s="18">
        <v>143.13999999999999</v>
      </c>
      <c r="Z15" s="18">
        <v>13</v>
      </c>
      <c r="AA15" s="18">
        <v>5.5</v>
      </c>
      <c r="AB15" s="18">
        <v>2</v>
      </c>
      <c r="AC15" s="18">
        <v>68.8</v>
      </c>
      <c r="AD15" s="18">
        <v>68.400000000000006</v>
      </c>
      <c r="AE15" s="18">
        <v>122.4</v>
      </c>
      <c r="AF15" s="32">
        <v>13</v>
      </c>
      <c r="AG15" s="32">
        <v>18.3</v>
      </c>
      <c r="AH15" s="32">
        <v>2.3199999999999998</v>
      </c>
    </row>
    <row r="16" spans="1:52" ht="15.95">
      <c r="A16" s="16" t="s">
        <v>98</v>
      </c>
      <c r="B16" s="27">
        <v>0.40069444444444446</v>
      </c>
      <c r="C16" s="14" t="s">
        <v>97</v>
      </c>
      <c r="D16" s="14">
        <v>43</v>
      </c>
      <c r="E16" s="14">
        <v>219</v>
      </c>
      <c r="F16" s="14"/>
      <c r="G16" s="18">
        <v>3.26</v>
      </c>
      <c r="H16" s="18">
        <v>7.1</v>
      </c>
      <c r="I16" s="18">
        <v>21.5</v>
      </c>
      <c r="J16" s="18">
        <v>40</v>
      </c>
      <c r="K16" s="18">
        <v>4.9000000000000004</v>
      </c>
      <c r="L16" s="18"/>
      <c r="M16" s="29">
        <f t="shared" ref="M16:M25" si="0">L16/(64.5*H16)</f>
        <v>0</v>
      </c>
      <c r="N16" s="30">
        <v>10.7</v>
      </c>
      <c r="O16" s="30">
        <v>7.4130000000000003</v>
      </c>
      <c r="P16" s="30">
        <v>33.299999999999997</v>
      </c>
      <c r="Q16" s="30">
        <v>115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>
        <v>0.40972222222222221</v>
      </c>
      <c r="C17" s="14" t="s">
        <v>97</v>
      </c>
      <c r="D17" s="14">
        <v>65</v>
      </c>
      <c r="E17" s="14">
        <v>200</v>
      </c>
      <c r="F17" s="14"/>
      <c r="G17" s="18">
        <v>4.0999999999999996</v>
      </c>
      <c r="H17" s="18">
        <v>8.9</v>
      </c>
      <c r="I17" s="18">
        <v>27.1</v>
      </c>
      <c r="J17" s="18">
        <v>96</v>
      </c>
      <c r="K17" s="18">
        <v>4</v>
      </c>
      <c r="L17" s="18"/>
      <c r="M17" s="29">
        <f t="shared" si="0"/>
        <v>0</v>
      </c>
      <c r="N17" s="30">
        <v>10.9</v>
      </c>
      <c r="O17" s="30">
        <v>7.3710000000000004</v>
      </c>
      <c r="P17" s="30">
        <v>40.799999999999997</v>
      </c>
      <c r="Q17" s="30">
        <v>86.6</v>
      </c>
      <c r="R17" s="18">
        <v>74</v>
      </c>
      <c r="S17" s="18">
        <v>65</v>
      </c>
      <c r="T17" s="18">
        <v>251</v>
      </c>
      <c r="U17" s="18">
        <v>1.1000000000000001</v>
      </c>
      <c r="V17" s="18">
        <v>26.71</v>
      </c>
      <c r="W17" s="18">
        <v>51</v>
      </c>
      <c r="X17" s="18">
        <v>133.44</v>
      </c>
      <c r="Y17" s="18">
        <v>282.37</v>
      </c>
      <c r="Z17" s="18">
        <v>10</v>
      </c>
      <c r="AA17" s="18"/>
      <c r="AB17" s="18"/>
      <c r="AC17" s="18"/>
      <c r="AD17" s="18"/>
      <c r="AE17" s="18">
        <v>56.3</v>
      </c>
      <c r="AF17" s="32">
        <v>12.6</v>
      </c>
      <c r="AG17" s="32">
        <v>52.2</v>
      </c>
      <c r="AH17" s="32">
        <v>1.95</v>
      </c>
    </row>
    <row r="18" spans="1:34" ht="15.95">
      <c r="A18" s="34" t="s">
        <v>126</v>
      </c>
      <c r="B18" s="27">
        <v>0.4513888888888889</v>
      </c>
      <c r="C18" s="14" t="s">
        <v>97</v>
      </c>
      <c r="D18" s="14">
        <v>60</v>
      </c>
      <c r="E18" s="14">
        <v>213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6.8</v>
      </c>
      <c r="O18" s="30">
        <v>7.4779999999999998</v>
      </c>
      <c r="P18" s="30">
        <v>37.9</v>
      </c>
      <c r="Q18" s="30">
        <v>89.8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127</v>
      </c>
      <c r="B19" s="27">
        <v>0.49305555555555558</v>
      </c>
      <c r="C19" s="14" t="s">
        <v>97</v>
      </c>
      <c r="D19" s="14">
        <v>70</v>
      </c>
      <c r="E19" s="14">
        <v>247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4.3</v>
      </c>
      <c r="O19" s="30">
        <v>7.4660000000000002</v>
      </c>
      <c r="P19" s="30">
        <v>37.9</v>
      </c>
      <c r="Q19" s="30">
        <v>92.1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0.53472222222222221</v>
      </c>
      <c r="C20" s="14" t="s">
        <v>97</v>
      </c>
      <c r="D20" s="14">
        <v>70</v>
      </c>
      <c r="E20" s="14">
        <v>249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4.2</v>
      </c>
      <c r="O20" s="30">
        <v>7.48</v>
      </c>
      <c r="P20" s="30">
        <v>35</v>
      </c>
      <c r="Q20" s="30">
        <v>105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0.57638888888888884</v>
      </c>
      <c r="C21" s="14" t="s">
        <v>97</v>
      </c>
      <c r="D21" s="14">
        <v>67</v>
      </c>
      <c r="E21" s="14">
        <v>230</v>
      </c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>
        <v>3.4</v>
      </c>
      <c r="O21" s="30">
        <v>7.4649999999999999</v>
      </c>
      <c r="P21" s="30">
        <v>38.4</v>
      </c>
      <c r="Q21" s="30">
        <v>81.7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128</v>
      </c>
      <c r="B22" s="27">
        <v>0.5</v>
      </c>
      <c r="C22" s="14" t="s">
        <v>97</v>
      </c>
      <c r="D22" s="14">
        <v>71</v>
      </c>
      <c r="E22" s="14">
        <v>237</v>
      </c>
      <c r="F22" s="14"/>
      <c r="G22" s="18">
        <v>4.09</v>
      </c>
      <c r="H22" s="18">
        <v>8.6999999999999993</v>
      </c>
      <c r="I22" s="18">
        <v>26.9</v>
      </c>
      <c r="J22" s="18">
        <v>185</v>
      </c>
      <c r="K22" s="18">
        <v>3.7</v>
      </c>
      <c r="L22" s="18"/>
      <c r="M22" s="29">
        <f t="shared" si="0"/>
        <v>0</v>
      </c>
      <c r="N22" s="30">
        <v>3.4</v>
      </c>
      <c r="O22" s="30">
        <v>7.4790000000000001</v>
      </c>
      <c r="P22" s="30">
        <v>36.299999999999997</v>
      </c>
      <c r="Q22" s="30">
        <v>83.9</v>
      </c>
      <c r="R22" s="18">
        <v>86</v>
      </c>
      <c r="S22" s="18">
        <v>97</v>
      </c>
      <c r="T22" s="18">
        <v>248</v>
      </c>
      <c r="U22" s="18">
        <v>0.7</v>
      </c>
      <c r="V22" s="18">
        <v>18.989999999999998</v>
      </c>
      <c r="W22" s="18">
        <v>157</v>
      </c>
      <c r="X22" s="18">
        <v>258.98</v>
      </c>
      <c r="Y22" s="18">
        <v>134.69999999999999</v>
      </c>
      <c r="Z22" s="18">
        <v>11</v>
      </c>
      <c r="AA22" s="9"/>
      <c r="AB22" s="9"/>
      <c r="AC22" s="9"/>
      <c r="AD22" s="9"/>
      <c r="AE22" s="9">
        <v>138.30000000000001</v>
      </c>
      <c r="AF22" s="9">
        <v>12.5</v>
      </c>
      <c r="AG22" s="32"/>
      <c r="AH22" s="32">
        <v>4.21</v>
      </c>
    </row>
    <row r="23" spans="1:34" ht="15.95">
      <c r="A23" s="16" t="s">
        <v>105</v>
      </c>
      <c r="B23" s="27">
        <v>0.40972222222222221</v>
      </c>
      <c r="C23" s="14" t="s">
        <v>97</v>
      </c>
      <c r="D23" s="14">
        <v>63</v>
      </c>
      <c r="E23" s="14">
        <v>204</v>
      </c>
      <c r="F23" s="14"/>
      <c r="G23" s="18">
        <v>4.72</v>
      </c>
      <c r="H23" s="18">
        <v>10.1</v>
      </c>
      <c r="I23" s="18">
        <v>31.3</v>
      </c>
      <c r="J23" s="18">
        <v>24</v>
      </c>
      <c r="K23" s="18">
        <v>3.4</v>
      </c>
      <c r="L23" s="18"/>
      <c r="M23" s="29">
        <f t="shared" si="0"/>
        <v>0</v>
      </c>
      <c r="N23" s="30">
        <v>1.6</v>
      </c>
      <c r="O23" s="30">
        <v>7.4989999999999997</v>
      </c>
      <c r="P23" s="30">
        <v>37.9</v>
      </c>
      <c r="Q23" s="30">
        <v>83.8</v>
      </c>
      <c r="R23" s="18">
        <v>61</v>
      </c>
      <c r="S23" s="18">
        <v>116</v>
      </c>
      <c r="T23" s="18">
        <v>254</v>
      </c>
      <c r="U23" s="18">
        <v>0.7</v>
      </c>
      <c r="V23" s="18">
        <v>15.56</v>
      </c>
      <c r="W23" s="18">
        <v>232</v>
      </c>
      <c r="X23" s="18">
        <v>333.68</v>
      </c>
      <c r="Y23" s="18">
        <v>126.32</v>
      </c>
      <c r="Z23" s="18">
        <v>11</v>
      </c>
      <c r="AA23" s="9"/>
      <c r="AB23" s="9"/>
      <c r="AC23" s="9"/>
      <c r="AD23" s="9"/>
      <c r="AE23" s="9">
        <v>140.6</v>
      </c>
      <c r="AF23" s="9">
        <v>9</v>
      </c>
      <c r="AG23" s="32">
        <v>24.2</v>
      </c>
      <c r="AH23" s="32">
        <v>2.96</v>
      </c>
    </row>
    <row r="24" spans="1:34" ht="15.95">
      <c r="A24" s="16" t="s">
        <v>106</v>
      </c>
      <c r="B24" s="27">
        <v>0.34722222222222221</v>
      </c>
      <c r="C24" s="14" t="s">
        <v>97</v>
      </c>
      <c r="D24" s="14">
        <v>69</v>
      </c>
      <c r="E24" s="14">
        <v>182</v>
      </c>
      <c r="F24" s="14"/>
      <c r="G24" s="18">
        <v>4.99</v>
      </c>
      <c r="H24" s="18">
        <v>10.5</v>
      </c>
      <c r="I24" s="18">
        <v>33.5</v>
      </c>
      <c r="J24" s="18">
        <v>218</v>
      </c>
      <c r="K24" s="18">
        <v>4.4000000000000004</v>
      </c>
      <c r="L24" s="18"/>
      <c r="M24" s="29">
        <f t="shared" si="0"/>
        <v>0</v>
      </c>
      <c r="N24" s="30">
        <v>5.7</v>
      </c>
      <c r="O24" s="30">
        <v>7.4969999999999999</v>
      </c>
      <c r="P24" s="30">
        <v>49.5</v>
      </c>
      <c r="Q24" s="30">
        <v>40</v>
      </c>
      <c r="R24" s="18">
        <v>20</v>
      </c>
      <c r="S24" s="18">
        <v>79</v>
      </c>
      <c r="T24" s="18">
        <v>52</v>
      </c>
      <c r="U24" s="18">
        <v>0.7</v>
      </c>
      <c r="V24" s="18">
        <v>12.7</v>
      </c>
      <c r="W24" s="18">
        <v>196</v>
      </c>
      <c r="X24" s="18">
        <v>206.08</v>
      </c>
      <c r="Y24" s="18">
        <v>188.23</v>
      </c>
      <c r="Z24" s="18">
        <v>11</v>
      </c>
      <c r="AA24" s="9"/>
      <c r="AB24" s="9"/>
      <c r="AC24" s="9"/>
      <c r="AD24" s="9"/>
      <c r="AE24" s="9">
        <v>11.1</v>
      </c>
      <c r="AF24" s="9">
        <v>32.700000000000003</v>
      </c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41" priority="1" operator="equal">
      <formula>"incomplete"</formula>
    </cfRule>
    <cfRule type="cellIs" dxfId="4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EC858830-395F-AF46-9A0C-27ED3AAB02CA}">
      <formula1>"incomplete, COMPLETED"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827D-6351-0C43-A9CD-F5327414D70F}">
  <dimension ref="A1:AZ28"/>
  <sheetViews>
    <sheetView workbookViewId="0">
      <selection activeCell="A15" sqref="A15:A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130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1.65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45006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46.2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46.2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7811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/>
      <c r="C15" s="14" t="s">
        <v>97</v>
      </c>
      <c r="D15" s="39">
        <v>62</v>
      </c>
      <c r="E15" s="39">
        <v>241</v>
      </c>
      <c r="F15" s="39" t="s">
        <v>131</v>
      </c>
      <c r="G15" s="39" t="s">
        <v>132</v>
      </c>
      <c r="H15" s="39" t="s">
        <v>133</v>
      </c>
      <c r="I15" s="39" t="s">
        <v>134</v>
      </c>
      <c r="J15" s="39" t="s">
        <v>135</v>
      </c>
      <c r="K15" s="39" t="s">
        <v>136</v>
      </c>
      <c r="L15" s="39" t="s">
        <v>131</v>
      </c>
      <c r="M15" s="39" t="s">
        <v>131</v>
      </c>
      <c r="N15" s="39" t="s">
        <v>137</v>
      </c>
      <c r="O15" s="39" t="s">
        <v>138</v>
      </c>
      <c r="P15" s="39" t="s">
        <v>139</v>
      </c>
      <c r="Q15" s="39" t="s">
        <v>140</v>
      </c>
      <c r="R15" s="39" t="s">
        <v>141</v>
      </c>
      <c r="S15" s="39" t="s">
        <v>142</v>
      </c>
      <c r="T15" s="39" t="s">
        <v>143</v>
      </c>
      <c r="U15" s="39" t="s">
        <v>144</v>
      </c>
      <c r="V15" s="39" t="s">
        <v>145</v>
      </c>
      <c r="W15" s="39" t="s">
        <v>146</v>
      </c>
      <c r="X15" s="39" t="s">
        <v>147</v>
      </c>
      <c r="Y15" s="39" t="s">
        <v>148</v>
      </c>
      <c r="Z15" s="39" t="s">
        <v>149</v>
      </c>
      <c r="AA15" s="39" t="s">
        <v>131</v>
      </c>
      <c r="AB15" s="39" t="s">
        <v>131</v>
      </c>
      <c r="AC15" s="39" t="s">
        <v>131</v>
      </c>
      <c r="AD15" s="39" t="s">
        <v>131</v>
      </c>
      <c r="AE15">
        <v>79.900000000000006</v>
      </c>
      <c r="AF15">
        <v>17.899999999999999</v>
      </c>
      <c r="AH15">
        <v>4.17</v>
      </c>
      <c r="AI15" t="s">
        <v>131</v>
      </c>
    </row>
    <row r="16" spans="1:52">
      <c r="A16" s="16" t="s">
        <v>98</v>
      </c>
      <c r="B16" s="27"/>
      <c r="C16" s="14" t="s">
        <v>97</v>
      </c>
      <c r="D16" s="39">
        <v>29</v>
      </c>
      <c r="E16" s="39">
        <v>290</v>
      </c>
      <c r="F16" s="39" t="s">
        <v>131</v>
      </c>
      <c r="G16" s="39" t="s">
        <v>150</v>
      </c>
      <c r="H16" s="39" t="s">
        <v>151</v>
      </c>
      <c r="I16" s="39" t="s">
        <v>152</v>
      </c>
      <c r="J16" s="39" t="s">
        <v>153</v>
      </c>
      <c r="K16" s="39" t="s">
        <v>154</v>
      </c>
      <c r="L16" s="39" t="s">
        <v>131</v>
      </c>
      <c r="M16" s="39" t="s">
        <v>131</v>
      </c>
      <c r="N16" s="39" t="s">
        <v>155</v>
      </c>
      <c r="O16" s="39" t="s">
        <v>156</v>
      </c>
      <c r="P16" s="39" t="s">
        <v>157</v>
      </c>
      <c r="Q16" s="39" t="s">
        <v>158</v>
      </c>
      <c r="R16" s="39" t="s">
        <v>131</v>
      </c>
      <c r="S16" s="39" t="s">
        <v>131</v>
      </c>
      <c r="T16" s="39" t="s">
        <v>131</v>
      </c>
      <c r="U16" s="39" t="s">
        <v>131</v>
      </c>
      <c r="V16" s="39" t="s">
        <v>131</v>
      </c>
      <c r="W16" s="39" t="s">
        <v>131</v>
      </c>
      <c r="X16" s="39" t="s">
        <v>131</v>
      </c>
      <c r="Y16" s="39" t="s">
        <v>131</v>
      </c>
      <c r="Z16" s="39" t="s">
        <v>131</v>
      </c>
      <c r="AA16" s="39" t="s">
        <v>131</v>
      </c>
      <c r="AB16" s="39" t="s">
        <v>131</v>
      </c>
      <c r="AC16" s="39" t="s">
        <v>131</v>
      </c>
      <c r="AD16" s="39" t="s">
        <v>131</v>
      </c>
      <c r="AH16" t="s">
        <v>131</v>
      </c>
      <c r="AI16" t="s">
        <v>131</v>
      </c>
    </row>
    <row r="17" spans="1:35">
      <c r="A17" s="16" t="s">
        <v>99</v>
      </c>
      <c r="B17" s="27"/>
      <c r="C17" s="14" t="s">
        <v>97</v>
      </c>
      <c r="D17" s="39">
        <v>55</v>
      </c>
      <c r="E17" s="39">
        <v>239</v>
      </c>
      <c r="F17" s="39" t="s">
        <v>131</v>
      </c>
      <c r="G17" s="39" t="s">
        <v>159</v>
      </c>
      <c r="H17" s="39" t="s">
        <v>160</v>
      </c>
      <c r="I17" s="39" t="s">
        <v>161</v>
      </c>
      <c r="J17" s="39" t="s">
        <v>162</v>
      </c>
      <c r="K17" s="39" t="s">
        <v>163</v>
      </c>
      <c r="L17" s="39" t="s">
        <v>131</v>
      </c>
      <c r="M17" s="39" t="s">
        <v>131</v>
      </c>
      <c r="N17" s="39" t="s">
        <v>164</v>
      </c>
      <c r="O17" s="39" t="s">
        <v>165</v>
      </c>
      <c r="P17" s="39" t="s">
        <v>166</v>
      </c>
      <c r="Q17" s="39" t="s">
        <v>167</v>
      </c>
      <c r="R17" s="39" t="s">
        <v>168</v>
      </c>
      <c r="S17" s="39" t="s">
        <v>169</v>
      </c>
      <c r="T17" s="39" t="s">
        <v>170</v>
      </c>
      <c r="U17" s="39" t="s">
        <v>171</v>
      </c>
      <c r="V17" s="39" t="s">
        <v>172</v>
      </c>
      <c r="W17" s="39" t="s">
        <v>173</v>
      </c>
      <c r="X17" s="39" t="s">
        <v>174</v>
      </c>
      <c r="Y17" s="39" t="s">
        <v>175</v>
      </c>
      <c r="Z17" s="39" t="s">
        <v>149</v>
      </c>
      <c r="AA17" s="39" t="s">
        <v>176</v>
      </c>
      <c r="AB17" s="39" t="s">
        <v>131</v>
      </c>
      <c r="AC17" s="39" t="s">
        <v>177</v>
      </c>
      <c r="AD17" s="39" t="s">
        <v>131</v>
      </c>
      <c r="AE17">
        <v>14.1</v>
      </c>
      <c r="AF17">
        <v>40.5</v>
      </c>
      <c r="AH17">
        <v>0.6</v>
      </c>
      <c r="AI17" t="s">
        <v>131</v>
      </c>
    </row>
    <row r="18" spans="1:35">
      <c r="A18" s="34" t="s">
        <v>126</v>
      </c>
      <c r="B18" s="27"/>
      <c r="C18" s="14" t="s">
        <v>97</v>
      </c>
      <c r="D18" s="39">
        <v>55</v>
      </c>
      <c r="E18" s="39">
        <v>299</v>
      </c>
      <c r="F18" s="39" t="s">
        <v>131</v>
      </c>
      <c r="G18" s="39" t="s">
        <v>131</v>
      </c>
      <c r="H18" s="39" t="s">
        <v>131</v>
      </c>
      <c r="I18" s="39" t="s">
        <v>131</v>
      </c>
      <c r="J18" s="39" t="s">
        <v>131</v>
      </c>
      <c r="K18" s="39" t="s">
        <v>131</v>
      </c>
      <c r="L18" s="39" t="s">
        <v>131</v>
      </c>
      <c r="M18" s="39" t="s">
        <v>131</v>
      </c>
      <c r="N18" s="39" t="s">
        <v>178</v>
      </c>
      <c r="O18" s="39" t="s">
        <v>179</v>
      </c>
      <c r="P18" s="39" t="s">
        <v>180</v>
      </c>
      <c r="Q18" s="39" t="s">
        <v>181</v>
      </c>
      <c r="R18" s="39" t="s">
        <v>131</v>
      </c>
      <c r="S18" s="39" t="s">
        <v>131</v>
      </c>
      <c r="T18" s="39" t="s">
        <v>131</v>
      </c>
      <c r="U18" s="39" t="s">
        <v>131</v>
      </c>
      <c r="V18" s="39" t="s">
        <v>131</v>
      </c>
      <c r="W18" s="39" t="s">
        <v>131</v>
      </c>
      <c r="X18" s="39" t="s">
        <v>131</v>
      </c>
      <c r="Y18" s="39" t="s">
        <v>131</v>
      </c>
      <c r="Z18" s="39" t="s">
        <v>131</v>
      </c>
      <c r="AA18" s="39" t="s">
        <v>131</v>
      </c>
      <c r="AB18" s="39" t="s">
        <v>131</v>
      </c>
      <c r="AC18" s="39" t="s">
        <v>131</v>
      </c>
      <c r="AD18" s="39" t="s">
        <v>131</v>
      </c>
      <c r="AH18" t="s">
        <v>131</v>
      </c>
      <c r="AI18" t="s">
        <v>131</v>
      </c>
    </row>
    <row r="19" spans="1:35">
      <c r="A19" s="16" t="s">
        <v>127</v>
      </c>
      <c r="B19" s="27"/>
      <c r="C19" s="14" t="s">
        <v>97</v>
      </c>
      <c r="D19" s="39">
        <v>51</v>
      </c>
      <c r="E19" s="39">
        <v>2285</v>
      </c>
      <c r="F19" s="39" t="s">
        <v>131</v>
      </c>
      <c r="G19" s="39" t="s">
        <v>131</v>
      </c>
      <c r="H19" s="39" t="s">
        <v>131</v>
      </c>
      <c r="I19" s="39" t="s">
        <v>131</v>
      </c>
      <c r="J19" s="39" t="s">
        <v>131</v>
      </c>
      <c r="K19" s="39" t="s">
        <v>131</v>
      </c>
      <c r="L19" s="39" t="s">
        <v>131</v>
      </c>
      <c r="M19" s="39" t="s">
        <v>131</v>
      </c>
      <c r="N19" s="39" t="s">
        <v>182</v>
      </c>
      <c r="O19" s="39" t="s">
        <v>183</v>
      </c>
      <c r="P19" s="39" t="s">
        <v>184</v>
      </c>
      <c r="Q19" s="39" t="s">
        <v>185</v>
      </c>
      <c r="R19" s="39" t="s">
        <v>131</v>
      </c>
      <c r="S19" s="39" t="s">
        <v>131</v>
      </c>
      <c r="T19" s="39" t="s">
        <v>131</v>
      </c>
      <c r="U19" s="39" t="s">
        <v>131</v>
      </c>
      <c r="V19" s="39" t="s">
        <v>131</v>
      </c>
      <c r="W19" s="39" t="s">
        <v>131</v>
      </c>
      <c r="X19" s="39" t="s">
        <v>131</v>
      </c>
      <c r="Y19" s="39" t="s">
        <v>131</v>
      </c>
      <c r="Z19" s="39" t="s">
        <v>131</v>
      </c>
      <c r="AA19" s="39" t="s">
        <v>131</v>
      </c>
      <c r="AB19" s="39" t="s">
        <v>131</v>
      </c>
      <c r="AC19" s="39" t="s">
        <v>131</v>
      </c>
      <c r="AD19" s="39" t="s">
        <v>131</v>
      </c>
      <c r="AH19" t="s">
        <v>131</v>
      </c>
      <c r="AI19" t="s">
        <v>131</v>
      </c>
    </row>
    <row r="20" spans="1:35">
      <c r="A20" s="16" t="s">
        <v>100</v>
      </c>
      <c r="B20" s="27"/>
      <c r="C20" s="14" t="s">
        <v>97</v>
      </c>
      <c r="D20" s="39">
        <v>58</v>
      </c>
      <c r="E20" s="39">
        <v>2288</v>
      </c>
      <c r="F20" s="39" t="s">
        <v>131</v>
      </c>
      <c r="G20" s="39" t="s">
        <v>131</v>
      </c>
      <c r="H20" s="39" t="s">
        <v>131</v>
      </c>
      <c r="I20" s="39" t="s">
        <v>131</v>
      </c>
      <c r="J20" s="39" t="s">
        <v>131</v>
      </c>
      <c r="K20" s="39" t="s">
        <v>131</v>
      </c>
      <c r="L20" s="39" t="s">
        <v>131</v>
      </c>
      <c r="M20" s="39" t="s">
        <v>131</v>
      </c>
      <c r="N20" s="39" t="s">
        <v>186</v>
      </c>
      <c r="O20" s="39" t="s">
        <v>187</v>
      </c>
      <c r="P20" s="39" t="s">
        <v>188</v>
      </c>
      <c r="Q20" s="39" t="s">
        <v>189</v>
      </c>
      <c r="R20" s="39" t="s">
        <v>131</v>
      </c>
      <c r="S20" s="39" t="s">
        <v>131</v>
      </c>
      <c r="T20" s="39" t="s">
        <v>131</v>
      </c>
      <c r="U20" s="39" t="s">
        <v>131</v>
      </c>
      <c r="V20" s="39" t="s">
        <v>131</v>
      </c>
      <c r="W20" s="39" t="s">
        <v>131</v>
      </c>
      <c r="X20" s="39" t="s">
        <v>131</v>
      </c>
      <c r="Y20" s="39" t="s">
        <v>131</v>
      </c>
      <c r="Z20" s="39" t="s">
        <v>131</v>
      </c>
      <c r="AA20" s="39" t="s">
        <v>131</v>
      </c>
      <c r="AB20" s="39" t="s">
        <v>131</v>
      </c>
      <c r="AC20" s="39" t="s">
        <v>131</v>
      </c>
      <c r="AD20" s="39" t="s">
        <v>131</v>
      </c>
      <c r="AH20" t="s">
        <v>131</v>
      </c>
      <c r="AI20" t="s">
        <v>131</v>
      </c>
    </row>
    <row r="21" spans="1:35">
      <c r="A21" s="16" t="s">
        <v>104</v>
      </c>
      <c r="B21" s="27"/>
      <c r="C21" s="14" t="s">
        <v>97</v>
      </c>
      <c r="D21" s="39">
        <v>55</v>
      </c>
      <c r="E21" s="39">
        <v>268</v>
      </c>
      <c r="F21" s="39" t="s">
        <v>131</v>
      </c>
      <c r="G21" s="39" t="s">
        <v>131</v>
      </c>
      <c r="H21" s="39" t="s">
        <v>131</v>
      </c>
      <c r="I21" s="39" t="s">
        <v>131</v>
      </c>
      <c r="J21" s="39" t="s">
        <v>131</v>
      </c>
      <c r="K21" s="39" t="s">
        <v>131</v>
      </c>
      <c r="L21" s="39" t="s">
        <v>131</v>
      </c>
      <c r="M21" s="39" t="s">
        <v>131</v>
      </c>
      <c r="N21" s="39" t="s">
        <v>190</v>
      </c>
      <c r="O21" s="39" t="s">
        <v>191</v>
      </c>
      <c r="P21" s="39" t="s">
        <v>192</v>
      </c>
      <c r="Q21" s="39" t="s">
        <v>193</v>
      </c>
      <c r="R21" s="39" t="s">
        <v>131</v>
      </c>
      <c r="S21" s="39" t="s">
        <v>131</v>
      </c>
      <c r="T21" s="39" t="s">
        <v>131</v>
      </c>
      <c r="U21" s="39" t="s">
        <v>131</v>
      </c>
      <c r="V21" s="39" t="s">
        <v>131</v>
      </c>
      <c r="W21" s="39" t="s">
        <v>131</v>
      </c>
      <c r="X21" s="39" t="s">
        <v>131</v>
      </c>
      <c r="Y21" s="39" t="s">
        <v>131</v>
      </c>
      <c r="Z21" s="39" t="s">
        <v>131</v>
      </c>
      <c r="AA21" s="39" t="s">
        <v>131</v>
      </c>
      <c r="AB21" s="39" t="s">
        <v>131</v>
      </c>
      <c r="AC21" s="39" t="s">
        <v>131</v>
      </c>
      <c r="AD21" s="39" t="s">
        <v>131</v>
      </c>
      <c r="AH21" t="s">
        <v>131</v>
      </c>
      <c r="AI21" t="s">
        <v>131</v>
      </c>
    </row>
    <row r="22" spans="1:35">
      <c r="A22" s="16" t="s">
        <v>128</v>
      </c>
      <c r="B22" s="27"/>
      <c r="C22" s="14" t="s">
        <v>97</v>
      </c>
      <c r="D22" s="39">
        <v>68</v>
      </c>
      <c r="E22" s="39">
        <v>179</v>
      </c>
      <c r="F22" s="39" t="s">
        <v>131</v>
      </c>
      <c r="G22" s="39" t="s">
        <v>194</v>
      </c>
      <c r="H22" s="39" t="s">
        <v>195</v>
      </c>
      <c r="I22" s="39" t="s">
        <v>196</v>
      </c>
      <c r="J22" s="39" t="s">
        <v>197</v>
      </c>
      <c r="K22" s="39" t="s">
        <v>198</v>
      </c>
      <c r="L22" s="39" t="s">
        <v>131</v>
      </c>
      <c r="M22" s="39" t="s">
        <v>131</v>
      </c>
      <c r="N22" s="39" t="s">
        <v>171</v>
      </c>
      <c r="O22" s="39" t="s">
        <v>199</v>
      </c>
      <c r="P22" s="39" t="s">
        <v>192</v>
      </c>
      <c r="Q22" s="39" t="s">
        <v>200</v>
      </c>
      <c r="R22" s="39" t="s">
        <v>201</v>
      </c>
      <c r="S22" s="39" t="s">
        <v>202</v>
      </c>
      <c r="T22" s="39" t="s">
        <v>203</v>
      </c>
      <c r="U22" s="39" t="s">
        <v>137</v>
      </c>
      <c r="V22" s="39" t="s">
        <v>204</v>
      </c>
      <c r="W22" s="39" t="s">
        <v>205</v>
      </c>
      <c r="X22" s="39" t="s">
        <v>206</v>
      </c>
      <c r="Y22" s="39" t="s">
        <v>207</v>
      </c>
      <c r="Z22" s="39" t="s">
        <v>208</v>
      </c>
      <c r="AA22" s="39" t="s">
        <v>131</v>
      </c>
      <c r="AB22" s="39" t="s">
        <v>131</v>
      </c>
      <c r="AC22" s="39" t="s">
        <v>131</v>
      </c>
      <c r="AD22" s="39" t="s">
        <v>131</v>
      </c>
      <c r="AE22">
        <v>21.2</v>
      </c>
      <c r="AF22">
        <v>12.2</v>
      </c>
      <c r="AH22">
        <v>3.3</v>
      </c>
      <c r="AI22" t="s">
        <v>131</v>
      </c>
    </row>
    <row r="23" spans="1:35">
      <c r="A23" s="16" t="s">
        <v>105</v>
      </c>
      <c r="B23" s="27"/>
      <c r="C23" s="14" t="s">
        <v>97</v>
      </c>
      <c r="D23" s="39">
        <v>78</v>
      </c>
      <c r="E23" s="39">
        <v>273</v>
      </c>
      <c r="F23" s="39" t="s">
        <v>131</v>
      </c>
      <c r="G23" s="39" t="s">
        <v>209</v>
      </c>
      <c r="H23" s="39" t="s">
        <v>210</v>
      </c>
      <c r="I23" s="39" t="s">
        <v>211</v>
      </c>
      <c r="J23" s="39" t="s">
        <v>212</v>
      </c>
      <c r="K23" s="39" t="s">
        <v>213</v>
      </c>
      <c r="L23" s="39" t="s">
        <v>131</v>
      </c>
      <c r="M23" s="39" t="s">
        <v>131</v>
      </c>
      <c r="N23" s="39" t="s">
        <v>214</v>
      </c>
      <c r="O23" s="39" t="s">
        <v>215</v>
      </c>
      <c r="P23" s="39" t="s">
        <v>216</v>
      </c>
      <c r="Q23" s="39" t="s">
        <v>217</v>
      </c>
      <c r="R23" s="39" t="s">
        <v>218</v>
      </c>
      <c r="S23" s="39" t="s">
        <v>219</v>
      </c>
      <c r="T23" s="39" t="s">
        <v>220</v>
      </c>
      <c r="U23" s="39" t="s">
        <v>190</v>
      </c>
      <c r="V23" s="39" t="s">
        <v>221</v>
      </c>
      <c r="W23" s="39" t="s">
        <v>222</v>
      </c>
      <c r="X23" s="39" t="s">
        <v>223</v>
      </c>
      <c r="Y23" s="39" t="s">
        <v>224</v>
      </c>
      <c r="Z23" s="39" t="s">
        <v>208</v>
      </c>
      <c r="AA23" s="39" t="s">
        <v>131</v>
      </c>
      <c r="AB23" s="39" t="s">
        <v>131</v>
      </c>
      <c r="AC23" s="39" t="s">
        <v>131</v>
      </c>
      <c r="AD23" s="39" t="s">
        <v>131</v>
      </c>
      <c r="AE23">
        <v>9.4</v>
      </c>
      <c r="AF23">
        <v>13.7</v>
      </c>
      <c r="AH23">
        <v>4.97</v>
      </c>
      <c r="AI23" t="s">
        <v>131</v>
      </c>
    </row>
    <row r="24" spans="1:35">
      <c r="A24" s="16" t="s">
        <v>106</v>
      </c>
      <c r="B24" s="27"/>
      <c r="C24" s="14" t="s">
        <v>97</v>
      </c>
      <c r="D24" s="39">
        <v>74</v>
      </c>
      <c r="E24" s="39">
        <v>296</v>
      </c>
      <c r="F24" s="39" t="s">
        <v>131</v>
      </c>
      <c r="G24" s="39" t="s">
        <v>225</v>
      </c>
      <c r="H24" s="39" t="s">
        <v>226</v>
      </c>
      <c r="I24" s="39" t="s">
        <v>227</v>
      </c>
      <c r="J24" s="39" t="s">
        <v>228</v>
      </c>
      <c r="K24" s="39" t="s">
        <v>229</v>
      </c>
      <c r="L24" s="39" t="s">
        <v>131</v>
      </c>
      <c r="M24" s="39" t="s">
        <v>131</v>
      </c>
      <c r="N24" s="39" t="s">
        <v>230</v>
      </c>
      <c r="O24" s="39" t="s">
        <v>231</v>
      </c>
      <c r="P24" s="39" t="s">
        <v>232</v>
      </c>
      <c r="Q24" s="39" t="s">
        <v>233</v>
      </c>
      <c r="R24" s="39" t="s">
        <v>234</v>
      </c>
      <c r="S24" s="39" t="s">
        <v>235</v>
      </c>
      <c r="T24" s="39" t="s">
        <v>236</v>
      </c>
      <c r="U24" s="39" t="s">
        <v>137</v>
      </c>
      <c r="V24" s="39" t="s">
        <v>237</v>
      </c>
      <c r="W24" s="39" t="s">
        <v>238</v>
      </c>
      <c r="X24" s="39" t="s">
        <v>239</v>
      </c>
      <c r="Y24" s="39" t="s">
        <v>240</v>
      </c>
      <c r="Z24" s="39" t="s">
        <v>241</v>
      </c>
      <c r="AA24" s="39" t="s">
        <v>131</v>
      </c>
      <c r="AB24" s="39" t="s">
        <v>131</v>
      </c>
      <c r="AC24" s="39" t="s">
        <v>131</v>
      </c>
      <c r="AD24" s="39" t="s">
        <v>131</v>
      </c>
      <c r="AE24">
        <v>339.3</v>
      </c>
      <c r="AF24">
        <v>12.1</v>
      </c>
      <c r="AH24">
        <v>4.71</v>
      </c>
      <c r="AI24" t="s">
        <v>131</v>
      </c>
    </row>
    <row r="25" spans="1:35">
      <c r="A25" s="7"/>
      <c r="B25" s="27"/>
      <c r="C25" s="14" t="s">
        <v>97</v>
      </c>
      <c r="D25" s="39" t="s">
        <v>131</v>
      </c>
      <c r="E25" s="39" t="s">
        <v>131</v>
      </c>
      <c r="F25" s="39" t="s">
        <v>131</v>
      </c>
      <c r="G25" s="39" t="s">
        <v>131</v>
      </c>
      <c r="H25" s="39" t="s">
        <v>131</v>
      </c>
      <c r="I25" s="39" t="s">
        <v>131</v>
      </c>
      <c r="J25" s="39" t="s">
        <v>131</v>
      </c>
      <c r="K25" s="39" t="s">
        <v>131</v>
      </c>
      <c r="L25" s="39" t="s">
        <v>131</v>
      </c>
      <c r="M25" s="39" t="s">
        <v>131</v>
      </c>
      <c r="N25" s="39" t="s">
        <v>131</v>
      </c>
      <c r="O25" s="39" t="s">
        <v>131</v>
      </c>
      <c r="P25" s="39" t="s">
        <v>131</v>
      </c>
      <c r="Q25" s="39" t="s">
        <v>131</v>
      </c>
      <c r="R25" s="39" t="s">
        <v>131</v>
      </c>
      <c r="S25" s="39" t="s">
        <v>131</v>
      </c>
      <c r="T25" s="39" t="s">
        <v>131</v>
      </c>
      <c r="U25" s="39" t="s">
        <v>131</v>
      </c>
      <c r="V25" s="39" t="s">
        <v>131</v>
      </c>
      <c r="W25" s="39" t="s">
        <v>131</v>
      </c>
      <c r="X25" s="39" t="s">
        <v>131</v>
      </c>
      <c r="Y25" s="39" t="s">
        <v>131</v>
      </c>
      <c r="Z25" s="39" t="s">
        <v>131</v>
      </c>
      <c r="AA25" s="39" t="s">
        <v>131</v>
      </c>
      <c r="AB25" s="39" t="s">
        <v>131</v>
      </c>
      <c r="AC25" s="39" t="s">
        <v>131</v>
      </c>
      <c r="AD25" s="39" t="s">
        <v>131</v>
      </c>
      <c r="AH25" t="s">
        <v>131</v>
      </c>
      <c r="AI25" t="s">
        <v>131</v>
      </c>
    </row>
    <row r="26" spans="1:35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t="s">
        <v>131</v>
      </c>
      <c r="AF26" t="s">
        <v>131</v>
      </c>
      <c r="AG26" t="s">
        <v>131</v>
      </c>
      <c r="AH26" t="s">
        <v>131</v>
      </c>
      <c r="AI26" t="s">
        <v>131</v>
      </c>
    </row>
    <row r="27" spans="1:35">
      <c r="A27" s="7"/>
      <c r="B27" s="33"/>
      <c r="C27" s="33"/>
    </row>
    <row r="28" spans="1:35">
      <c r="A28" s="7"/>
      <c r="B28" s="33"/>
      <c r="C28" s="33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39" priority="1" operator="equal">
      <formula>"incomplete"</formula>
    </cfRule>
    <cfRule type="cellIs" dxfId="3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BA9933C-A426-0D4D-A47E-28374B47937F}">
      <formula1>"incomplete,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1BA0-E557-734D-9967-F3B1993B5DB2}">
  <dimension ref="A1:AZ28"/>
  <sheetViews>
    <sheetView workbookViewId="0">
      <selection activeCell="A15" sqref="A15:A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52" t="s">
        <v>242</v>
      </c>
      <c r="C4" s="53"/>
      <c r="D4" s="5"/>
      <c r="E4" s="4" t="s">
        <v>4</v>
      </c>
      <c r="F4" s="54" t="s">
        <v>115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1.72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45006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/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/>
      <c r="C15" s="14" t="s">
        <v>97</v>
      </c>
      <c r="D15" t="s">
        <v>243</v>
      </c>
      <c r="E15" t="s">
        <v>131</v>
      </c>
      <c r="F15" t="s">
        <v>131</v>
      </c>
      <c r="G15" t="s">
        <v>244</v>
      </c>
      <c r="H15" t="s">
        <v>164</v>
      </c>
      <c r="I15" t="s">
        <v>245</v>
      </c>
      <c r="J15" t="s">
        <v>246</v>
      </c>
      <c r="K15" t="s">
        <v>149</v>
      </c>
      <c r="L15" t="s">
        <v>131</v>
      </c>
      <c r="M15" t="s">
        <v>131</v>
      </c>
      <c r="N15" t="s">
        <v>247</v>
      </c>
      <c r="O15" t="s">
        <v>248</v>
      </c>
      <c r="P15" t="s">
        <v>249</v>
      </c>
      <c r="Q15" t="s">
        <v>250</v>
      </c>
      <c r="R15" t="s">
        <v>169</v>
      </c>
      <c r="S15" t="s">
        <v>243</v>
      </c>
      <c r="T15" t="s">
        <v>251</v>
      </c>
      <c r="U15" t="s">
        <v>252</v>
      </c>
      <c r="V15" t="s">
        <v>145</v>
      </c>
      <c r="W15" t="s">
        <v>253</v>
      </c>
      <c r="X15" t="s">
        <v>254</v>
      </c>
      <c r="Y15" t="s">
        <v>255</v>
      </c>
      <c r="Z15" t="s">
        <v>208</v>
      </c>
      <c r="AA15" t="s">
        <v>131</v>
      </c>
      <c r="AB15" t="s">
        <v>131</v>
      </c>
      <c r="AC15" t="s">
        <v>131</v>
      </c>
      <c r="AD15" t="s">
        <v>131</v>
      </c>
      <c r="AE15">
        <v>16.8</v>
      </c>
      <c r="AF15">
        <v>18.100000000000001</v>
      </c>
      <c r="AG15">
        <v>57.1</v>
      </c>
      <c r="AH15">
        <v>2.58</v>
      </c>
      <c r="AI15" t="s">
        <v>131</v>
      </c>
    </row>
    <row r="16" spans="1:52">
      <c r="A16" s="16" t="s">
        <v>98</v>
      </c>
      <c r="B16" s="27">
        <v>0.4826388888888889</v>
      </c>
      <c r="C16" s="14" t="s">
        <v>97</v>
      </c>
      <c r="D16" t="s">
        <v>256</v>
      </c>
      <c r="E16" t="s">
        <v>131</v>
      </c>
      <c r="F16" t="s">
        <v>131</v>
      </c>
      <c r="G16" t="s">
        <v>257</v>
      </c>
      <c r="H16" t="s">
        <v>258</v>
      </c>
      <c r="I16" t="s">
        <v>259</v>
      </c>
      <c r="J16" t="s">
        <v>260</v>
      </c>
      <c r="K16" t="s">
        <v>261</v>
      </c>
      <c r="L16" t="s">
        <v>131</v>
      </c>
      <c r="M16" t="s">
        <v>131</v>
      </c>
      <c r="N16" t="s">
        <v>262</v>
      </c>
      <c r="O16" t="s">
        <v>263</v>
      </c>
      <c r="P16" t="s">
        <v>264</v>
      </c>
      <c r="Q16" t="s">
        <v>265</v>
      </c>
      <c r="R16" t="s">
        <v>131</v>
      </c>
      <c r="S16" t="s">
        <v>131</v>
      </c>
      <c r="T16" t="s">
        <v>131</v>
      </c>
      <c r="U16" t="s">
        <v>131</v>
      </c>
      <c r="V16" t="s">
        <v>131</v>
      </c>
      <c r="W16" t="s">
        <v>131</v>
      </c>
      <c r="X16" t="s">
        <v>131</v>
      </c>
      <c r="Y16" t="s">
        <v>131</v>
      </c>
      <c r="Z16" t="s">
        <v>131</v>
      </c>
      <c r="AA16" t="s">
        <v>131</v>
      </c>
      <c r="AB16" t="s">
        <v>131</v>
      </c>
      <c r="AC16" t="s">
        <v>131</v>
      </c>
      <c r="AD16" t="s">
        <v>131</v>
      </c>
      <c r="AF16" t="s">
        <v>131</v>
      </c>
      <c r="AG16" t="s">
        <v>131</v>
      </c>
      <c r="AH16" t="s">
        <v>131</v>
      </c>
      <c r="AI16" t="s">
        <v>131</v>
      </c>
    </row>
    <row r="17" spans="1:35">
      <c r="A17" s="16" t="s">
        <v>99</v>
      </c>
      <c r="B17" s="27">
        <v>0.4861111111111111</v>
      </c>
      <c r="C17" s="14" t="s">
        <v>97</v>
      </c>
      <c r="D17" t="s">
        <v>266</v>
      </c>
      <c r="E17" t="s">
        <v>131</v>
      </c>
      <c r="F17" t="s">
        <v>131</v>
      </c>
      <c r="G17" t="s">
        <v>267</v>
      </c>
      <c r="H17" t="s">
        <v>268</v>
      </c>
      <c r="I17" t="s">
        <v>269</v>
      </c>
      <c r="J17" t="s">
        <v>197</v>
      </c>
      <c r="K17" t="s">
        <v>270</v>
      </c>
      <c r="L17" t="s">
        <v>131</v>
      </c>
      <c r="M17" t="s">
        <v>131</v>
      </c>
      <c r="N17" t="s">
        <v>271</v>
      </c>
      <c r="O17" t="s">
        <v>272</v>
      </c>
      <c r="P17" t="s">
        <v>273</v>
      </c>
      <c r="Q17" t="s">
        <v>274</v>
      </c>
      <c r="R17" t="s">
        <v>141</v>
      </c>
      <c r="S17" t="s">
        <v>275</v>
      </c>
      <c r="T17" t="s">
        <v>276</v>
      </c>
      <c r="U17" t="s">
        <v>252</v>
      </c>
      <c r="V17" t="s">
        <v>277</v>
      </c>
      <c r="W17" t="s">
        <v>278</v>
      </c>
      <c r="X17" t="s">
        <v>279</v>
      </c>
      <c r="Y17" t="s">
        <v>280</v>
      </c>
      <c r="Z17" t="s">
        <v>281</v>
      </c>
      <c r="AA17" t="s">
        <v>131</v>
      </c>
      <c r="AB17" t="s">
        <v>131</v>
      </c>
      <c r="AC17" t="s">
        <v>131</v>
      </c>
      <c r="AD17" t="s">
        <v>131</v>
      </c>
      <c r="AF17" t="s">
        <v>131</v>
      </c>
      <c r="AG17" t="s">
        <v>131</v>
      </c>
      <c r="AH17" t="s">
        <v>131</v>
      </c>
      <c r="AI17" t="s">
        <v>131</v>
      </c>
    </row>
    <row r="18" spans="1:35">
      <c r="A18" s="34" t="s">
        <v>100</v>
      </c>
      <c r="B18" s="27"/>
      <c r="C18" s="14" t="s">
        <v>97</v>
      </c>
      <c r="D18" t="s">
        <v>282</v>
      </c>
      <c r="E18" t="s">
        <v>131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283</v>
      </c>
      <c r="O18" t="s">
        <v>284</v>
      </c>
      <c r="P18" t="s">
        <v>216</v>
      </c>
      <c r="Q18" t="s">
        <v>285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F18" t="s">
        <v>131</v>
      </c>
      <c r="AG18" t="s">
        <v>131</v>
      </c>
      <c r="AH18" t="s">
        <v>131</v>
      </c>
      <c r="AI18" t="s">
        <v>131</v>
      </c>
    </row>
    <row r="19" spans="1:35">
      <c r="A19" s="16" t="s">
        <v>101</v>
      </c>
      <c r="B19" s="27"/>
      <c r="C19" s="14" t="s">
        <v>97</v>
      </c>
      <c r="D19" t="s">
        <v>286</v>
      </c>
      <c r="E19" t="s">
        <v>131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287</v>
      </c>
      <c r="O19" t="s">
        <v>288</v>
      </c>
      <c r="P19" t="s">
        <v>184</v>
      </c>
      <c r="Q19" t="s">
        <v>289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F19" t="s">
        <v>131</v>
      </c>
      <c r="AG19" t="s">
        <v>131</v>
      </c>
      <c r="AH19" t="s">
        <v>131</v>
      </c>
      <c r="AI19" t="s">
        <v>131</v>
      </c>
    </row>
    <row r="20" spans="1:35">
      <c r="A20" s="16" t="s">
        <v>102</v>
      </c>
      <c r="B20" s="27"/>
      <c r="C20" s="14" t="s">
        <v>97</v>
      </c>
      <c r="D20" t="s">
        <v>290</v>
      </c>
      <c r="E20" t="s">
        <v>131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291</v>
      </c>
      <c r="O20" t="s">
        <v>292</v>
      </c>
      <c r="P20" t="s">
        <v>293</v>
      </c>
      <c r="Q20" t="s">
        <v>294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F20" t="s">
        <v>131</v>
      </c>
      <c r="AG20" t="s">
        <v>131</v>
      </c>
      <c r="AH20" t="s">
        <v>131</v>
      </c>
      <c r="AI20" t="s">
        <v>131</v>
      </c>
    </row>
    <row r="21" spans="1:35">
      <c r="A21" s="16" t="s">
        <v>103</v>
      </c>
      <c r="B21" s="27"/>
      <c r="C21" s="14" t="s">
        <v>97</v>
      </c>
      <c r="D21" t="s">
        <v>295</v>
      </c>
      <c r="E21" t="s">
        <v>131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296</v>
      </c>
      <c r="O21" t="s">
        <v>297</v>
      </c>
      <c r="P21" t="s">
        <v>298</v>
      </c>
      <c r="Q21" t="s">
        <v>299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F21" t="s">
        <v>131</v>
      </c>
      <c r="AG21" t="s">
        <v>131</v>
      </c>
      <c r="AH21" t="s">
        <v>131</v>
      </c>
      <c r="AI21" t="s">
        <v>131</v>
      </c>
    </row>
    <row r="22" spans="1:35">
      <c r="A22" s="16" t="s">
        <v>128</v>
      </c>
      <c r="B22" s="27"/>
      <c r="C22" s="14" t="s">
        <v>97</v>
      </c>
      <c r="D22" t="s">
        <v>300</v>
      </c>
      <c r="E22" t="s">
        <v>131</v>
      </c>
      <c r="F22" t="s">
        <v>131</v>
      </c>
      <c r="G22" t="s">
        <v>301</v>
      </c>
      <c r="H22" t="s">
        <v>302</v>
      </c>
      <c r="I22" t="s">
        <v>303</v>
      </c>
      <c r="J22" t="s">
        <v>304</v>
      </c>
      <c r="K22" t="s">
        <v>261</v>
      </c>
      <c r="L22" t="s">
        <v>131</v>
      </c>
      <c r="M22" t="s">
        <v>131</v>
      </c>
      <c r="N22" t="s">
        <v>305</v>
      </c>
      <c r="O22" t="s">
        <v>306</v>
      </c>
      <c r="P22" t="s">
        <v>307</v>
      </c>
      <c r="Q22" t="s">
        <v>308</v>
      </c>
      <c r="R22" t="s">
        <v>142</v>
      </c>
      <c r="S22" t="s">
        <v>309</v>
      </c>
      <c r="T22" t="s">
        <v>310</v>
      </c>
      <c r="U22" t="s">
        <v>252</v>
      </c>
      <c r="V22" t="s">
        <v>311</v>
      </c>
      <c r="W22" t="s">
        <v>312</v>
      </c>
      <c r="X22" t="s">
        <v>313</v>
      </c>
      <c r="Y22" t="s">
        <v>314</v>
      </c>
      <c r="Z22" t="s">
        <v>241</v>
      </c>
      <c r="AA22" t="s">
        <v>131</v>
      </c>
      <c r="AB22" t="s">
        <v>131</v>
      </c>
      <c r="AC22" t="s">
        <v>131</v>
      </c>
      <c r="AD22" t="s">
        <v>131</v>
      </c>
      <c r="AF22" t="s">
        <v>131</v>
      </c>
      <c r="AG22" t="s">
        <v>131</v>
      </c>
      <c r="AH22" t="s">
        <v>131</v>
      </c>
      <c r="AI22" t="s">
        <v>131</v>
      </c>
    </row>
    <row r="23" spans="1:35">
      <c r="A23" s="16" t="s">
        <v>105</v>
      </c>
      <c r="B23" s="27"/>
      <c r="C23" s="14" t="s">
        <v>97</v>
      </c>
      <c r="D23" t="s">
        <v>315</v>
      </c>
      <c r="E23" t="s">
        <v>131</v>
      </c>
      <c r="F23" t="s">
        <v>131</v>
      </c>
      <c r="G23" t="s">
        <v>316</v>
      </c>
      <c r="H23" t="s">
        <v>317</v>
      </c>
      <c r="I23" t="s">
        <v>318</v>
      </c>
      <c r="J23" t="s">
        <v>319</v>
      </c>
      <c r="K23" t="s">
        <v>320</v>
      </c>
      <c r="L23" t="s">
        <v>131</v>
      </c>
      <c r="M23" t="s">
        <v>131</v>
      </c>
      <c r="N23" t="s">
        <v>321</v>
      </c>
      <c r="O23" t="s">
        <v>322</v>
      </c>
      <c r="P23" t="s">
        <v>323</v>
      </c>
      <c r="Q23" t="s">
        <v>324</v>
      </c>
      <c r="R23" t="s">
        <v>325</v>
      </c>
      <c r="S23" t="s">
        <v>315</v>
      </c>
      <c r="T23" t="s">
        <v>217</v>
      </c>
      <c r="U23" t="s">
        <v>230</v>
      </c>
      <c r="V23" t="s">
        <v>326</v>
      </c>
      <c r="W23" t="s">
        <v>327</v>
      </c>
      <c r="X23" t="s">
        <v>328</v>
      </c>
      <c r="Y23" t="s">
        <v>329</v>
      </c>
      <c r="Z23" t="s">
        <v>330</v>
      </c>
      <c r="AA23" t="s">
        <v>131</v>
      </c>
      <c r="AB23" t="s">
        <v>131</v>
      </c>
      <c r="AC23" t="s">
        <v>131</v>
      </c>
      <c r="AD23" t="s">
        <v>131</v>
      </c>
      <c r="AF23" t="s">
        <v>131</v>
      </c>
      <c r="AG23" t="s">
        <v>131</v>
      </c>
      <c r="AH23" t="s">
        <v>131</v>
      </c>
      <c r="AI23" t="s">
        <v>131</v>
      </c>
    </row>
    <row r="24" spans="1:35">
      <c r="A24" s="16" t="s">
        <v>106</v>
      </c>
      <c r="B24" s="27"/>
      <c r="C24" s="14" t="s">
        <v>97</v>
      </c>
      <c r="D24" t="s">
        <v>218</v>
      </c>
      <c r="E24" t="s">
        <v>131</v>
      </c>
      <c r="F24" t="s">
        <v>131</v>
      </c>
      <c r="G24" t="s">
        <v>331</v>
      </c>
      <c r="H24" t="s">
        <v>332</v>
      </c>
      <c r="I24" t="s">
        <v>333</v>
      </c>
      <c r="J24" t="s">
        <v>334</v>
      </c>
      <c r="K24" t="s">
        <v>320</v>
      </c>
      <c r="L24" t="s">
        <v>131</v>
      </c>
      <c r="M24" t="s">
        <v>131</v>
      </c>
      <c r="N24" t="s">
        <v>335</v>
      </c>
      <c r="O24" t="s">
        <v>336</v>
      </c>
      <c r="P24" t="s">
        <v>337</v>
      </c>
      <c r="Q24" t="s">
        <v>338</v>
      </c>
      <c r="R24" t="s">
        <v>149</v>
      </c>
      <c r="S24" t="s">
        <v>339</v>
      </c>
      <c r="T24" t="s">
        <v>340</v>
      </c>
      <c r="U24" t="s">
        <v>230</v>
      </c>
      <c r="V24" t="s">
        <v>341</v>
      </c>
      <c r="W24" t="s">
        <v>238</v>
      </c>
      <c r="X24" t="s">
        <v>342</v>
      </c>
      <c r="Y24" t="s">
        <v>343</v>
      </c>
      <c r="Z24" t="s">
        <v>241</v>
      </c>
      <c r="AA24" t="s">
        <v>131</v>
      </c>
      <c r="AB24" t="s">
        <v>131</v>
      </c>
      <c r="AC24" t="s">
        <v>131</v>
      </c>
      <c r="AD24" t="s">
        <v>131</v>
      </c>
      <c r="AF24" t="s">
        <v>131</v>
      </c>
      <c r="AG24" t="s">
        <v>131</v>
      </c>
      <c r="AH24" t="s">
        <v>131</v>
      </c>
      <c r="AI24" t="s">
        <v>131</v>
      </c>
    </row>
    <row r="25" spans="1:35">
      <c r="A25" s="7"/>
      <c r="B25" s="27"/>
      <c r="C25" s="14" t="s">
        <v>97</v>
      </c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t="s">
        <v>131</v>
      </c>
      <c r="AF25" t="s">
        <v>131</v>
      </c>
      <c r="AG25" t="s">
        <v>131</v>
      </c>
      <c r="AH25" t="s">
        <v>131</v>
      </c>
      <c r="AI25" t="s">
        <v>131</v>
      </c>
    </row>
    <row r="26" spans="1:35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t="s">
        <v>131</v>
      </c>
      <c r="AF26" t="s">
        <v>131</v>
      </c>
      <c r="AG26" t="s">
        <v>131</v>
      </c>
      <c r="AH26" t="s">
        <v>131</v>
      </c>
      <c r="AI26" t="s">
        <v>131</v>
      </c>
    </row>
    <row r="27" spans="1:35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5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37" priority="1" operator="equal">
      <formula>"incomplete"</formula>
    </cfRule>
    <cfRule type="cellIs" dxfId="3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FCABEA85-54BB-0346-9906-4584D294030D}">
      <formula1>"incomplete, COMPLETED"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8FA4-A23D-1F46-B108-60CCB3107C58}">
  <dimension ref="A1:AZ28"/>
  <sheetViews>
    <sheetView workbookViewId="0">
      <selection activeCell="A15" sqref="A15:A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344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111</v>
      </c>
      <c r="B5" s="52">
        <v>1.74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10</v>
      </c>
      <c r="B6" s="60">
        <v>45007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48.72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 t="s">
        <v>345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7" thickBot="1">
      <c r="A9" s="4" t="s">
        <v>13</v>
      </c>
      <c r="B9" s="62">
        <v>7594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 t="s">
        <v>346</v>
      </c>
      <c r="C15" s="14" t="s">
        <v>97</v>
      </c>
      <c r="D15" t="s">
        <v>243</v>
      </c>
      <c r="E15">
        <v>243</v>
      </c>
      <c r="F15" t="s">
        <v>131</v>
      </c>
      <c r="G15" t="s">
        <v>244</v>
      </c>
      <c r="H15" t="s">
        <v>164</v>
      </c>
      <c r="I15" t="s">
        <v>245</v>
      </c>
      <c r="J15" t="s">
        <v>246</v>
      </c>
      <c r="K15" t="s">
        <v>149</v>
      </c>
      <c r="L15" t="s">
        <v>131</v>
      </c>
      <c r="M15" t="s">
        <v>131</v>
      </c>
      <c r="N15" t="s">
        <v>247</v>
      </c>
      <c r="O15" t="s">
        <v>248</v>
      </c>
      <c r="P15" t="s">
        <v>249</v>
      </c>
      <c r="Q15" t="s">
        <v>250</v>
      </c>
      <c r="R15" t="s">
        <v>169</v>
      </c>
      <c r="S15" t="s">
        <v>243</v>
      </c>
      <c r="T15" t="s">
        <v>251</v>
      </c>
      <c r="U15" t="s">
        <v>252</v>
      </c>
      <c r="V15" t="s">
        <v>145</v>
      </c>
      <c r="W15" t="s">
        <v>253</v>
      </c>
      <c r="X15" t="s">
        <v>254</v>
      </c>
      <c r="Y15" t="s">
        <v>255</v>
      </c>
      <c r="Z15" t="s">
        <v>208</v>
      </c>
      <c r="AA15" t="s">
        <v>131</v>
      </c>
      <c r="AB15" t="s">
        <v>131</v>
      </c>
      <c r="AC15" t="s">
        <v>131</v>
      </c>
      <c r="AD15" t="s">
        <v>131</v>
      </c>
      <c r="AE15" s="18">
        <v>9.5</v>
      </c>
      <c r="AF15" s="32">
        <v>17</v>
      </c>
      <c r="AG15" s="32"/>
      <c r="AH15" s="32">
        <v>4.49</v>
      </c>
    </row>
    <row r="16" spans="1:52">
      <c r="A16" s="16" t="s">
        <v>98</v>
      </c>
      <c r="B16" s="27">
        <v>0.45347222222222222</v>
      </c>
      <c r="C16" s="14" t="s">
        <v>97</v>
      </c>
      <c r="D16" t="s">
        <v>256</v>
      </c>
      <c r="E16">
        <v>247</v>
      </c>
      <c r="F16" t="s">
        <v>131</v>
      </c>
      <c r="G16" t="s">
        <v>257</v>
      </c>
      <c r="H16" t="s">
        <v>258</v>
      </c>
      <c r="I16" t="s">
        <v>259</v>
      </c>
      <c r="J16" t="s">
        <v>260</v>
      </c>
      <c r="K16" t="s">
        <v>261</v>
      </c>
      <c r="L16" t="s">
        <v>131</v>
      </c>
      <c r="M16" t="s">
        <v>131</v>
      </c>
      <c r="N16" t="s">
        <v>262</v>
      </c>
      <c r="O16" t="s">
        <v>263</v>
      </c>
      <c r="P16" t="s">
        <v>264</v>
      </c>
      <c r="Q16" t="s">
        <v>265</v>
      </c>
      <c r="R16" t="s">
        <v>131</v>
      </c>
      <c r="S16" t="s">
        <v>131</v>
      </c>
      <c r="T16" t="s">
        <v>131</v>
      </c>
      <c r="U16" t="s">
        <v>131</v>
      </c>
      <c r="V16" t="s">
        <v>131</v>
      </c>
      <c r="W16" t="s">
        <v>131</v>
      </c>
      <c r="X16" t="s">
        <v>131</v>
      </c>
      <c r="Y16" t="s">
        <v>131</v>
      </c>
      <c r="Z16" t="s">
        <v>131</v>
      </c>
      <c r="AA16" t="s">
        <v>131</v>
      </c>
      <c r="AB16" t="s">
        <v>131</v>
      </c>
      <c r="AC16" t="s">
        <v>131</v>
      </c>
      <c r="AD16" t="s">
        <v>131</v>
      </c>
      <c r="AE16" s="18"/>
      <c r="AF16" s="32"/>
      <c r="AG16" s="32"/>
      <c r="AH16" s="32"/>
    </row>
    <row r="17" spans="1:34">
      <c r="A17" s="16" t="s">
        <v>99</v>
      </c>
      <c r="B17" s="27" t="s">
        <v>347</v>
      </c>
      <c r="C17" s="14" t="s">
        <v>97</v>
      </c>
      <c r="D17" t="s">
        <v>266</v>
      </c>
      <c r="E17">
        <v>237</v>
      </c>
      <c r="F17" t="s">
        <v>131</v>
      </c>
      <c r="G17" t="s">
        <v>267</v>
      </c>
      <c r="H17" t="s">
        <v>268</v>
      </c>
      <c r="I17" t="s">
        <v>269</v>
      </c>
      <c r="J17" t="s">
        <v>197</v>
      </c>
      <c r="K17" t="s">
        <v>270</v>
      </c>
      <c r="L17" t="s">
        <v>131</v>
      </c>
      <c r="M17" t="s">
        <v>131</v>
      </c>
      <c r="N17" t="s">
        <v>271</v>
      </c>
      <c r="O17" t="s">
        <v>272</v>
      </c>
      <c r="P17" t="s">
        <v>273</v>
      </c>
      <c r="Q17" t="s">
        <v>274</v>
      </c>
      <c r="R17" t="s">
        <v>141</v>
      </c>
      <c r="S17" t="s">
        <v>275</v>
      </c>
      <c r="T17" t="s">
        <v>276</v>
      </c>
      <c r="U17" t="s">
        <v>252</v>
      </c>
      <c r="V17" t="s">
        <v>277</v>
      </c>
      <c r="W17" t="s">
        <v>278</v>
      </c>
      <c r="X17" t="s">
        <v>279</v>
      </c>
      <c r="Y17" t="s">
        <v>280</v>
      </c>
      <c r="Z17" t="s">
        <v>281</v>
      </c>
      <c r="AA17" t="s">
        <v>131</v>
      </c>
      <c r="AB17" t="s">
        <v>131</v>
      </c>
      <c r="AC17" t="s">
        <v>131</v>
      </c>
      <c r="AD17" t="s">
        <v>131</v>
      </c>
      <c r="AE17" s="18">
        <v>9.8000000000000007</v>
      </c>
      <c r="AF17" s="32">
        <v>20.8</v>
      </c>
      <c r="AG17" s="32"/>
      <c r="AH17" s="32">
        <v>0.19</v>
      </c>
    </row>
    <row r="18" spans="1:34">
      <c r="A18" s="34" t="s">
        <v>126</v>
      </c>
      <c r="B18" s="27" t="s">
        <v>348</v>
      </c>
      <c r="C18" s="14" t="s">
        <v>97</v>
      </c>
      <c r="D18" t="s">
        <v>282</v>
      </c>
      <c r="E18">
        <v>281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283</v>
      </c>
      <c r="O18" t="s">
        <v>284</v>
      </c>
      <c r="P18" t="s">
        <v>216</v>
      </c>
      <c r="Q18" t="s">
        <v>285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127</v>
      </c>
      <c r="B19" s="27" t="s">
        <v>349</v>
      </c>
      <c r="C19" s="14" t="s">
        <v>97</v>
      </c>
      <c r="D19" t="s">
        <v>286</v>
      </c>
      <c r="E19">
        <v>273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287</v>
      </c>
      <c r="O19" t="s">
        <v>288</v>
      </c>
      <c r="P19" t="s">
        <v>184</v>
      </c>
      <c r="Q19" t="s">
        <v>289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100</v>
      </c>
      <c r="B20" s="27" t="s">
        <v>350</v>
      </c>
      <c r="C20" s="14" t="s">
        <v>97</v>
      </c>
      <c r="D20" t="s">
        <v>290</v>
      </c>
      <c r="E20">
        <v>264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291</v>
      </c>
      <c r="O20" t="s">
        <v>292</v>
      </c>
      <c r="P20" t="s">
        <v>293</v>
      </c>
      <c r="Q20" t="s">
        <v>294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104</v>
      </c>
      <c r="B21" s="27" t="s">
        <v>351</v>
      </c>
      <c r="C21" s="14" t="s">
        <v>97</v>
      </c>
      <c r="D21" t="s">
        <v>295</v>
      </c>
      <c r="E21">
        <v>284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296</v>
      </c>
      <c r="O21" t="s">
        <v>297</v>
      </c>
      <c r="P21" t="s">
        <v>298</v>
      </c>
      <c r="Q21" t="s">
        <v>299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s="18"/>
      <c r="AF21" s="32"/>
      <c r="AG21" s="32"/>
      <c r="AH21" s="32"/>
    </row>
    <row r="22" spans="1:34">
      <c r="A22" s="16" t="s">
        <v>128</v>
      </c>
      <c r="B22" s="27" t="s">
        <v>352</v>
      </c>
      <c r="C22" s="14" t="s">
        <v>97</v>
      </c>
      <c r="D22" t="s">
        <v>300</v>
      </c>
      <c r="E22">
        <v>275</v>
      </c>
      <c r="F22" t="s">
        <v>131</v>
      </c>
      <c r="G22" t="s">
        <v>301</v>
      </c>
      <c r="H22" t="s">
        <v>302</v>
      </c>
      <c r="I22" t="s">
        <v>303</v>
      </c>
      <c r="J22" t="s">
        <v>304</v>
      </c>
      <c r="K22" t="s">
        <v>261</v>
      </c>
      <c r="L22" t="s">
        <v>131</v>
      </c>
      <c r="M22" t="s">
        <v>131</v>
      </c>
      <c r="N22" t="s">
        <v>305</v>
      </c>
      <c r="O22" t="s">
        <v>306</v>
      </c>
      <c r="P22" t="s">
        <v>307</v>
      </c>
      <c r="Q22" t="s">
        <v>308</v>
      </c>
      <c r="R22" t="s">
        <v>142</v>
      </c>
      <c r="S22" t="s">
        <v>309</v>
      </c>
      <c r="T22" t="s">
        <v>310</v>
      </c>
      <c r="U22" t="s">
        <v>252</v>
      </c>
      <c r="V22" t="s">
        <v>311</v>
      </c>
      <c r="W22" t="s">
        <v>312</v>
      </c>
      <c r="X22" t="s">
        <v>313</v>
      </c>
      <c r="Y22" t="s">
        <v>314</v>
      </c>
      <c r="Z22" t="s">
        <v>241</v>
      </c>
      <c r="AA22" t="s">
        <v>131</v>
      </c>
      <c r="AB22" t="s">
        <v>131</v>
      </c>
      <c r="AC22" t="s">
        <v>131</v>
      </c>
      <c r="AD22" t="s">
        <v>131</v>
      </c>
      <c r="AE22" s="9">
        <v>12.1</v>
      </c>
      <c r="AF22" s="9">
        <v>13.9</v>
      </c>
      <c r="AG22" s="32"/>
      <c r="AH22" s="32">
        <v>4.01</v>
      </c>
    </row>
    <row r="23" spans="1:34">
      <c r="A23" s="16" t="s">
        <v>105</v>
      </c>
      <c r="B23" s="27" t="s">
        <v>347</v>
      </c>
      <c r="C23" s="14" t="s">
        <v>97</v>
      </c>
      <c r="D23" t="s">
        <v>315</v>
      </c>
      <c r="E23">
        <v>197</v>
      </c>
      <c r="F23" t="s">
        <v>131</v>
      </c>
      <c r="G23" t="s">
        <v>316</v>
      </c>
      <c r="H23" t="s">
        <v>317</v>
      </c>
      <c r="I23" t="s">
        <v>318</v>
      </c>
      <c r="J23" t="s">
        <v>319</v>
      </c>
      <c r="K23" t="s">
        <v>320</v>
      </c>
      <c r="L23" t="s">
        <v>131</v>
      </c>
      <c r="M23" t="s">
        <v>131</v>
      </c>
      <c r="N23" t="s">
        <v>321</v>
      </c>
      <c r="O23" t="s">
        <v>322</v>
      </c>
      <c r="P23" t="s">
        <v>323</v>
      </c>
      <c r="Q23" t="s">
        <v>324</v>
      </c>
      <c r="R23" t="s">
        <v>325</v>
      </c>
      <c r="S23" t="s">
        <v>315</v>
      </c>
      <c r="T23" t="s">
        <v>217</v>
      </c>
      <c r="U23" t="s">
        <v>230</v>
      </c>
      <c r="V23" t="s">
        <v>326</v>
      </c>
      <c r="W23" t="s">
        <v>327</v>
      </c>
      <c r="X23" t="s">
        <v>328</v>
      </c>
      <c r="Y23" t="s">
        <v>329</v>
      </c>
      <c r="Z23" t="s">
        <v>330</v>
      </c>
      <c r="AA23" t="s">
        <v>131</v>
      </c>
      <c r="AB23" t="s">
        <v>131</v>
      </c>
      <c r="AC23" t="s">
        <v>131</v>
      </c>
      <c r="AD23" t="s">
        <v>131</v>
      </c>
      <c r="AE23" s="9">
        <v>9.5</v>
      </c>
      <c r="AF23" s="9">
        <v>14.6</v>
      </c>
      <c r="AG23" s="32"/>
      <c r="AH23" s="32">
        <v>5.34</v>
      </c>
    </row>
    <row r="24" spans="1:34">
      <c r="A24" s="16" t="s">
        <v>106</v>
      </c>
      <c r="B24" s="27" t="s">
        <v>347</v>
      </c>
      <c r="C24" s="14" t="s">
        <v>97</v>
      </c>
      <c r="D24" t="s">
        <v>218</v>
      </c>
      <c r="E24">
        <v>277</v>
      </c>
      <c r="F24" t="s">
        <v>131</v>
      </c>
      <c r="G24" t="s">
        <v>331</v>
      </c>
      <c r="H24" t="s">
        <v>332</v>
      </c>
      <c r="I24" t="s">
        <v>333</v>
      </c>
      <c r="J24" t="s">
        <v>334</v>
      </c>
      <c r="K24" t="s">
        <v>320</v>
      </c>
      <c r="L24" t="s">
        <v>131</v>
      </c>
      <c r="M24" t="s">
        <v>131</v>
      </c>
      <c r="N24" t="s">
        <v>335</v>
      </c>
      <c r="O24" t="s">
        <v>336</v>
      </c>
      <c r="P24" t="s">
        <v>337</v>
      </c>
      <c r="Q24" t="s">
        <v>338</v>
      </c>
      <c r="R24" t="s">
        <v>149</v>
      </c>
      <c r="S24" t="s">
        <v>339</v>
      </c>
      <c r="T24" t="s">
        <v>340</v>
      </c>
      <c r="U24" t="s">
        <v>230</v>
      </c>
      <c r="V24" t="s">
        <v>341</v>
      </c>
      <c r="W24" t="s">
        <v>238</v>
      </c>
      <c r="X24" t="s">
        <v>342</v>
      </c>
      <c r="Y24" t="s">
        <v>343</v>
      </c>
      <c r="Z24" t="s">
        <v>241</v>
      </c>
      <c r="AA24" t="s">
        <v>131</v>
      </c>
      <c r="AB24" t="s">
        <v>131</v>
      </c>
      <c r="AC24" t="s">
        <v>131</v>
      </c>
      <c r="AD24" t="s">
        <v>131</v>
      </c>
      <c r="AE24" s="9">
        <v>21.4</v>
      </c>
      <c r="AF24" s="9">
        <v>9.5</v>
      </c>
      <c r="AG24" s="32"/>
      <c r="AH24" s="32">
        <v>4.12</v>
      </c>
    </row>
    <row r="25" spans="1:34">
      <c r="A25" s="7"/>
      <c r="B25" s="27"/>
      <c r="C25" s="14"/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32"/>
      <c r="AH25" s="32"/>
    </row>
    <row r="26" spans="1:34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1:F2"/>
    <mergeCell ref="G1:M2"/>
    <mergeCell ref="B4:C4"/>
    <mergeCell ref="F4:G4"/>
    <mergeCell ref="B5:C5"/>
    <mergeCell ref="F5:G5"/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</mergeCells>
  <conditionalFormatting sqref="D11:AZ11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21EFB2D-2FD8-FA44-9D0F-443575C4444D}">
      <formula1>"incomplete, COMPLETED"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7135-9F24-4C14-A04D-8A593FD75ACC}">
  <dimension ref="A1:AZ28"/>
  <sheetViews>
    <sheetView topLeftCell="A6" workbookViewId="0">
      <selection activeCell="A15" sqref="A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353</v>
      </c>
      <c r="C4" s="53"/>
      <c r="D4" s="5"/>
      <c r="E4" s="4" t="s">
        <v>4</v>
      </c>
      <c r="F4" s="54" t="s">
        <v>115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1.55</v>
      </c>
      <c r="C5" s="53"/>
      <c r="D5" s="5"/>
      <c r="E5" s="4" t="s">
        <v>8</v>
      </c>
      <c r="F5" s="56" t="s">
        <v>354</v>
      </c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45007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7795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0.3611111111111111</v>
      </c>
      <c r="C15" s="14" t="s">
        <v>97</v>
      </c>
      <c r="D15" s="14"/>
      <c r="E15" s="14"/>
      <c r="F15" s="14"/>
      <c r="G15" s="28"/>
      <c r="H15" s="28"/>
      <c r="I15" s="18"/>
      <c r="J15" s="18"/>
      <c r="K15" s="18"/>
      <c r="L15" s="18"/>
      <c r="M15" s="29" t="e">
        <f>L15/(64.5*H15)</f>
        <v>#DIV/0!</v>
      </c>
      <c r="N15" s="30"/>
      <c r="O15" s="30"/>
      <c r="P15" s="30"/>
      <c r="Q15" s="30"/>
      <c r="R15" s="18"/>
      <c r="S15" s="31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2"/>
      <c r="AG15" s="32"/>
      <c r="AH15" s="32"/>
    </row>
    <row r="16" spans="1:52" ht="15.95">
      <c r="A16" s="16" t="s">
        <v>98</v>
      </c>
      <c r="B16" s="27"/>
      <c r="C16" s="14" t="s">
        <v>97</v>
      </c>
      <c r="D16" s="14"/>
      <c r="E16" s="14"/>
      <c r="F16" s="14"/>
      <c r="G16" s="18"/>
      <c r="H16" s="18"/>
      <c r="I16" s="18"/>
      <c r="J16" s="18"/>
      <c r="K16" s="18"/>
      <c r="L16" s="18"/>
      <c r="M16" s="29" t="e">
        <f t="shared" ref="M16:M25" si="0">L16/(64.5*H16)</f>
        <v>#DIV/0!</v>
      </c>
      <c r="N16" s="30"/>
      <c r="O16" s="30"/>
      <c r="P16" s="30"/>
      <c r="Q16" s="30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/>
      <c r="C17" s="14" t="s">
        <v>97</v>
      </c>
      <c r="D17" s="14"/>
      <c r="E17" s="14"/>
      <c r="F17" s="14"/>
      <c r="G17" s="18"/>
      <c r="H17" s="18"/>
      <c r="I17" s="18"/>
      <c r="J17" s="18"/>
      <c r="K17" s="18"/>
      <c r="L17" s="18"/>
      <c r="M17" s="29" t="e">
        <f t="shared" si="0"/>
        <v>#DIV/0!</v>
      </c>
      <c r="N17" s="30"/>
      <c r="O17" s="30"/>
      <c r="P17" s="30"/>
      <c r="Q17" s="30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126</v>
      </c>
      <c r="B18" s="27"/>
      <c r="C18" s="14" t="s">
        <v>97</v>
      </c>
      <c r="D18" s="14"/>
      <c r="E18" s="14"/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127</v>
      </c>
      <c r="B19" s="27"/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/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/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128</v>
      </c>
      <c r="B22" s="27"/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36705502-98FD-4F57-8E02-384D1AFF1A30}">
      <formula1>"incomplete, COMPLETED"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E7BD-E1B9-402A-9245-946E06B4AFDE}">
  <dimension ref="A1:AZ28"/>
  <sheetViews>
    <sheetView topLeftCell="X5" workbookViewId="0">
      <selection activeCell="L17" sqref="L1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355</v>
      </c>
      <c r="C4" s="53"/>
      <c r="D4" s="5"/>
      <c r="E4" s="4" t="s">
        <v>4</v>
      </c>
      <c r="F4" s="54" t="s">
        <v>115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1.68</v>
      </c>
      <c r="C5" s="53"/>
      <c r="D5" s="5"/>
      <c r="E5" s="4" t="s">
        <v>8</v>
      </c>
      <c r="F5" s="56" t="s">
        <v>356</v>
      </c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45009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52.6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52.6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 t="s">
        <v>357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 t="s">
        <v>358</v>
      </c>
      <c r="C15" s="14" t="s">
        <v>97</v>
      </c>
      <c r="D15" s="14">
        <v>70</v>
      </c>
      <c r="E15" s="14">
        <v>262</v>
      </c>
      <c r="F15" s="14"/>
      <c r="G15" s="28">
        <v>6.05</v>
      </c>
      <c r="H15" s="28">
        <v>12.9</v>
      </c>
      <c r="I15" s="18">
        <v>40.299999999999997</v>
      </c>
      <c r="J15" s="18">
        <v>286</v>
      </c>
      <c r="K15" s="18">
        <v>9</v>
      </c>
      <c r="L15" s="18"/>
      <c r="M15" s="29">
        <f>L15/(64.5*H15)</f>
        <v>0</v>
      </c>
      <c r="N15" s="30">
        <v>2.4</v>
      </c>
      <c r="O15" s="30">
        <v>7.4690000000000003</v>
      </c>
      <c r="P15" s="30">
        <v>33.6</v>
      </c>
      <c r="Q15" s="30">
        <v>80.099999999999994</v>
      </c>
      <c r="R15" s="18">
        <v>68</v>
      </c>
      <c r="S15" s="31">
        <v>76</v>
      </c>
      <c r="T15" s="18">
        <v>152</v>
      </c>
      <c r="U15" s="18">
        <v>0.7</v>
      </c>
      <c r="V15" s="18">
        <v>14.77</v>
      </c>
      <c r="W15" s="18">
        <v>211</v>
      </c>
      <c r="X15" s="18">
        <v>94.36</v>
      </c>
      <c r="Y15" s="18">
        <v>142.07</v>
      </c>
      <c r="Z15" s="18">
        <v>10</v>
      </c>
      <c r="AA15" s="18"/>
      <c r="AB15" s="18"/>
      <c r="AC15" s="18"/>
      <c r="AD15" s="18"/>
      <c r="AE15" s="18">
        <v>118.3</v>
      </c>
      <c r="AF15" s="32">
        <v>27.8</v>
      </c>
      <c r="AG15" s="32">
        <v>25.4</v>
      </c>
      <c r="AH15" s="32">
        <v>1.5</v>
      </c>
    </row>
    <row r="16" spans="1:52" ht="15.95">
      <c r="A16" s="16" t="s">
        <v>98</v>
      </c>
      <c r="B16" s="27" t="s">
        <v>359</v>
      </c>
      <c r="C16" s="14" t="s">
        <v>97</v>
      </c>
      <c r="D16" s="14">
        <v>23</v>
      </c>
      <c r="E16" s="14">
        <v>253</v>
      </c>
      <c r="F16" s="14"/>
      <c r="G16" s="18">
        <v>4.05</v>
      </c>
      <c r="H16" s="18">
        <v>8.6999999999999993</v>
      </c>
      <c r="I16" s="18">
        <v>26.6</v>
      </c>
      <c r="J16" s="18">
        <v>60</v>
      </c>
      <c r="K16" s="18">
        <v>3.8</v>
      </c>
      <c r="L16" s="18"/>
      <c r="M16" s="29">
        <f t="shared" ref="M16:M25" si="0">L16/(64.5*H16)</f>
        <v>0</v>
      </c>
      <c r="N16" s="30">
        <v>15</v>
      </c>
      <c r="O16" s="30">
        <v>7.4089999999999998</v>
      </c>
      <c r="P16" s="30">
        <v>21.3</v>
      </c>
      <c r="Q16" s="30">
        <v>102</v>
      </c>
      <c r="R16" s="18">
        <v>101</v>
      </c>
      <c r="S16" s="18">
        <v>74</v>
      </c>
      <c r="T16" s="18">
        <v>302</v>
      </c>
      <c r="U16" s="18">
        <v>0.8</v>
      </c>
      <c r="V16" s="18">
        <v>24.91</v>
      </c>
      <c r="W16" s="18">
        <v>21.4</v>
      </c>
      <c r="X16" s="18">
        <v>155.84</v>
      </c>
      <c r="Y16" s="18">
        <v>325.67</v>
      </c>
      <c r="Z16" s="18">
        <v>6</v>
      </c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 t="s">
        <v>360</v>
      </c>
      <c r="C17" s="14" t="s">
        <v>97</v>
      </c>
      <c r="D17" s="14">
        <v>25</v>
      </c>
      <c r="E17" s="14"/>
      <c r="F17" s="14"/>
      <c r="G17" s="18">
        <v>3.85</v>
      </c>
      <c r="H17" s="18">
        <v>8.5</v>
      </c>
      <c r="I17" s="18">
        <v>25.2</v>
      </c>
      <c r="J17" s="18">
        <v>152</v>
      </c>
      <c r="K17" s="18">
        <v>9.3000000000000007</v>
      </c>
      <c r="L17" s="18"/>
      <c r="M17" s="29">
        <f t="shared" si="0"/>
        <v>0</v>
      </c>
      <c r="N17" s="30">
        <v>14.7</v>
      </c>
      <c r="O17" s="30">
        <v>7.2869999999999999</v>
      </c>
      <c r="P17" s="30">
        <v>27.8</v>
      </c>
      <c r="Q17" s="30">
        <v>34.700000000000003</v>
      </c>
      <c r="R17" s="18">
        <v>128</v>
      </c>
      <c r="S17" s="18">
        <v>76</v>
      </c>
      <c r="T17" s="18">
        <v>234</v>
      </c>
      <c r="U17" s="18">
        <v>0.7</v>
      </c>
      <c r="V17" s="18">
        <v>24.63</v>
      </c>
      <c r="W17" s="18">
        <v>191</v>
      </c>
      <c r="X17" s="18">
        <v>142.47999999999999</v>
      </c>
      <c r="Y17" s="18">
        <v>294.22000000000003</v>
      </c>
      <c r="Z17" s="18">
        <v>5</v>
      </c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100</v>
      </c>
      <c r="B18" s="27"/>
      <c r="C18" s="14" t="s">
        <v>97</v>
      </c>
      <c r="D18" s="14"/>
      <c r="E18" s="14"/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/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/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/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128</v>
      </c>
      <c r="B22" s="27"/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DD15FBD-9D54-4A3E-9421-01A5624C60AF}">
      <formula1>"incomplete, COMPLETED"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3A32-9379-4E4E-9408-006466CA9D41}">
  <dimension ref="A1:AZ28"/>
  <sheetViews>
    <sheetView topLeftCell="Z7" workbookViewId="0">
      <selection activeCell="C29" sqref="C2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361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1.61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45008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45.08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45.08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7807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 t="s">
        <v>362</v>
      </c>
      <c r="C15" s="14" t="s">
        <v>97</v>
      </c>
      <c r="D15">
        <v>73</v>
      </c>
      <c r="E15">
        <v>228</v>
      </c>
      <c r="F15" t="s">
        <v>131</v>
      </c>
      <c r="G15" t="s">
        <v>363</v>
      </c>
      <c r="H15" t="s">
        <v>364</v>
      </c>
      <c r="I15" t="s">
        <v>365</v>
      </c>
      <c r="J15" t="s">
        <v>276</v>
      </c>
      <c r="K15" t="s">
        <v>366</v>
      </c>
      <c r="L15" t="s">
        <v>131</v>
      </c>
      <c r="M15" t="s">
        <v>131</v>
      </c>
      <c r="N15" t="s">
        <v>367</v>
      </c>
      <c r="O15" t="s">
        <v>368</v>
      </c>
      <c r="P15" t="s">
        <v>298</v>
      </c>
      <c r="Q15" t="s">
        <v>369</v>
      </c>
      <c r="R15" t="s">
        <v>370</v>
      </c>
      <c r="S15" t="s">
        <v>370</v>
      </c>
      <c r="T15" t="s">
        <v>371</v>
      </c>
      <c r="U15" t="s">
        <v>230</v>
      </c>
      <c r="V15" t="s">
        <v>372</v>
      </c>
      <c r="W15" t="s">
        <v>373</v>
      </c>
      <c r="X15" t="s">
        <v>374</v>
      </c>
      <c r="Y15" t="s">
        <v>375</v>
      </c>
      <c r="Z15" t="s">
        <v>281</v>
      </c>
      <c r="AA15" t="s">
        <v>131</v>
      </c>
      <c r="AB15" t="s">
        <v>131</v>
      </c>
      <c r="AC15" t="s">
        <v>131</v>
      </c>
      <c r="AD15" t="s">
        <v>131</v>
      </c>
      <c r="AE15" s="18"/>
      <c r="AF15" s="32"/>
      <c r="AG15" s="32"/>
      <c r="AH15" s="32"/>
    </row>
    <row r="16" spans="1:52">
      <c r="A16" s="16" t="s">
        <v>98</v>
      </c>
      <c r="B16" s="27">
        <v>0.45902777777777776</v>
      </c>
      <c r="C16" s="14" t="s">
        <v>97</v>
      </c>
      <c r="D16" t="s">
        <v>376</v>
      </c>
      <c r="E16">
        <v>275</v>
      </c>
      <c r="F16" t="s">
        <v>131</v>
      </c>
      <c r="G16" t="s">
        <v>377</v>
      </c>
      <c r="H16" t="s">
        <v>378</v>
      </c>
      <c r="I16" t="s">
        <v>379</v>
      </c>
      <c r="J16" t="s">
        <v>380</v>
      </c>
      <c r="K16" t="s">
        <v>381</v>
      </c>
      <c r="L16" t="s">
        <v>131</v>
      </c>
      <c r="M16" t="s">
        <v>131</v>
      </c>
      <c r="N16" t="s">
        <v>382</v>
      </c>
      <c r="O16" t="s">
        <v>383</v>
      </c>
      <c r="P16" t="s">
        <v>384</v>
      </c>
      <c r="Q16" t="s">
        <v>274</v>
      </c>
      <c r="R16" t="s">
        <v>131</v>
      </c>
      <c r="S16" t="s">
        <v>131</v>
      </c>
      <c r="T16" t="s">
        <v>131</v>
      </c>
      <c r="U16" t="s">
        <v>131</v>
      </c>
      <c r="V16" t="s">
        <v>131</v>
      </c>
      <c r="W16" t="s">
        <v>131</v>
      </c>
      <c r="X16" t="s">
        <v>131</v>
      </c>
      <c r="Y16" t="s">
        <v>131</v>
      </c>
      <c r="Z16" t="s">
        <v>131</v>
      </c>
      <c r="AA16" t="s">
        <v>131</v>
      </c>
      <c r="AB16" t="s">
        <v>131</v>
      </c>
      <c r="AC16" t="s">
        <v>131</v>
      </c>
      <c r="AD16" t="s">
        <v>131</v>
      </c>
      <c r="AE16" s="18">
        <v>127.9</v>
      </c>
      <c r="AF16" s="32">
        <v>28.4</v>
      </c>
      <c r="AG16" s="32">
        <v>27.4</v>
      </c>
      <c r="AH16" s="32">
        <v>2.0499999999999998</v>
      </c>
    </row>
    <row r="17" spans="1:34">
      <c r="A17" s="16" t="s">
        <v>99</v>
      </c>
      <c r="B17" s="27">
        <v>0.46597222222222223</v>
      </c>
      <c r="C17" s="14" t="s">
        <v>97</v>
      </c>
      <c r="D17" t="s">
        <v>236</v>
      </c>
      <c r="E17">
        <v>229</v>
      </c>
      <c r="F17" t="s">
        <v>131</v>
      </c>
      <c r="G17" t="s">
        <v>385</v>
      </c>
      <c r="H17" t="s">
        <v>386</v>
      </c>
      <c r="I17" t="s">
        <v>387</v>
      </c>
      <c r="J17" t="s">
        <v>388</v>
      </c>
      <c r="K17" t="s">
        <v>389</v>
      </c>
      <c r="L17" t="s">
        <v>131</v>
      </c>
      <c r="M17" t="s">
        <v>131</v>
      </c>
      <c r="N17" t="s">
        <v>213</v>
      </c>
      <c r="O17" t="s">
        <v>390</v>
      </c>
      <c r="P17" t="s">
        <v>391</v>
      </c>
      <c r="Q17" t="s">
        <v>392</v>
      </c>
      <c r="R17" t="s">
        <v>393</v>
      </c>
      <c r="S17" t="s">
        <v>394</v>
      </c>
      <c r="T17" t="s">
        <v>395</v>
      </c>
      <c r="U17" t="s">
        <v>144</v>
      </c>
      <c r="V17" t="s">
        <v>396</v>
      </c>
      <c r="W17" t="s">
        <v>397</v>
      </c>
      <c r="X17" t="s">
        <v>398</v>
      </c>
      <c r="Y17" t="s">
        <v>399</v>
      </c>
      <c r="Z17" t="s">
        <v>281</v>
      </c>
      <c r="AA17" t="s">
        <v>131</v>
      </c>
      <c r="AB17" t="s">
        <v>131</v>
      </c>
      <c r="AC17" t="s">
        <v>131</v>
      </c>
      <c r="AD17" t="s">
        <v>131</v>
      </c>
      <c r="AE17" s="18">
        <v>8.4</v>
      </c>
      <c r="AF17" s="32">
        <v>40.4</v>
      </c>
      <c r="AG17" s="32"/>
      <c r="AH17" s="32">
        <v>0.72</v>
      </c>
    </row>
    <row r="18" spans="1:34">
      <c r="A18" s="34" t="s">
        <v>126</v>
      </c>
      <c r="B18" s="27" t="s">
        <v>400</v>
      </c>
      <c r="C18" s="14" t="s">
        <v>97</v>
      </c>
      <c r="D18" t="s">
        <v>401</v>
      </c>
      <c r="E18">
        <v>245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402</v>
      </c>
      <c r="O18" t="s">
        <v>138</v>
      </c>
      <c r="P18" t="s">
        <v>196</v>
      </c>
      <c r="Q18" t="s">
        <v>142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127</v>
      </c>
      <c r="B19" s="27" t="s">
        <v>403</v>
      </c>
      <c r="C19" s="14" t="s">
        <v>97</v>
      </c>
      <c r="D19" t="s">
        <v>295</v>
      </c>
      <c r="E19">
        <v>286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305</v>
      </c>
      <c r="O19" t="s">
        <v>404</v>
      </c>
      <c r="P19" t="s">
        <v>405</v>
      </c>
      <c r="Q19" t="s">
        <v>265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100</v>
      </c>
      <c r="B20" s="27" t="s">
        <v>406</v>
      </c>
      <c r="C20" s="14" t="s">
        <v>97</v>
      </c>
      <c r="D20" t="s">
        <v>407</v>
      </c>
      <c r="E20">
        <v>275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214</v>
      </c>
      <c r="O20" t="s">
        <v>191</v>
      </c>
      <c r="P20" t="s">
        <v>408</v>
      </c>
      <c r="Q20" t="s">
        <v>409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104</v>
      </c>
      <c r="B21" s="27" t="s">
        <v>410</v>
      </c>
      <c r="C21" s="14" t="s">
        <v>97</v>
      </c>
      <c r="D21" t="s">
        <v>411</v>
      </c>
      <c r="E21">
        <v>256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171</v>
      </c>
      <c r="O21" t="s">
        <v>412</v>
      </c>
      <c r="P21" t="s">
        <v>413</v>
      </c>
      <c r="Q21" t="s">
        <v>289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s="18"/>
      <c r="AF21" s="32"/>
      <c r="AG21" s="32"/>
      <c r="AH21" s="32"/>
    </row>
    <row r="22" spans="1:34">
      <c r="A22" s="16" t="s">
        <v>128</v>
      </c>
      <c r="B22" s="27" t="s">
        <v>414</v>
      </c>
      <c r="C22" s="14" t="s">
        <v>97</v>
      </c>
      <c r="D22" t="s">
        <v>415</v>
      </c>
      <c r="E22">
        <v>265</v>
      </c>
      <c r="F22" t="s">
        <v>131</v>
      </c>
      <c r="G22" t="s">
        <v>416</v>
      </c>
      <c r="H22" t="s">
        <v>176</v>
      </c>
      <c r="I22" t="s">
        <v>338</v>
      </c>
      <c r="J22" t="s">
        <v>203</v>
      </c>
      <c r="K22" t="s">
        <v>417</v>
      </c>
      <c r="L22" t="s">
        <v>131</v>
      </c>
      <c r="M22" t="s">
        <v>131</v>
      </c>
      <c r="N22" t="s">
        <v>171</v>
      </c>
      <c r="O22" t="s">
        <v>418</v>
      </c>
      <c r="P22" t="s">
        <v>232</v>
      </c>
      <c r="Q22" t="s">
        <v>409</v>
      </c>
      <c r="R22" t="s">
        <v>419</v>
      </c>
      <c r="S22" t="s">
        <v>266</v>
      </c>
      <c r="T22" t="s">
        <v>420</v>
      </c>
      <c r="U22" t="s">
        <v>190</v>
      </c>
      <c r="V22" t="s">
        <v>421</v>
      </c>
      <c r="W22" t="s">
        <v>422</v>
      </c>
      <c r="X22" t="s">
        <v>423</v>
      </c>
      <c r="Y22" t="s">
        <v>424</v>
      </c>
      <c r="Z22" t="s">
        <v>281</v>
      </c>
      <c r="AA22" t="s">
        <v>131</v>
      </c>
      <c r="AB22" t="s">
        <v>131</v>
      </c>
      <c r="AC22" t="s">
        <v>131</v>
      </c>
      <c r="AD22" t="s">
        <v>131</v>
      </c>
      <c r="AE22" s="9">
        <v>9.5</v>
      </c>
      <c r="AF22" s="9">
        <v>22.2</v>
      </c>
      <c r="AG22" s="32"/>
      <c r="AH22" s="32">
        <v>4.66</v>
      </c>
    </row>
    <row r="23" spans="1:34">
      <c r="A23" s="16" t="s">
        <v>105</v>
      </c>
      <c r="B23" s="27" t="s">
        <v>425</v>
      </c>
      <c r="C23" s="14" t="s">
        <v>97</v>
      </c>
      <c r="D23" t="s">
        <v>426</v>
      </c>
      <c r="E23">
        <v>295</v>
      </c>
      <c r="F23" t="s">
        <v>131</v>
      </c>
      <c r="G23" t="s">
        <v>427</v>
      </c>
      <c r="H23" t="s">
        <v>241</v>
      </c>
      <c r="I23" t="s">
        <v>428</v>
      </c>
      <c r="J23" t="s">
        <v>429</v>
      </c>
      <c r="K23" t="s">
        <v>248</v>
      </c>
      <c r="L23" t="s">
        <v>131</v>
      </c>
      <c r="M23" t="s">
        <v>131</v>
      </c>
      <c r="N23" t="s">
        <v>186</v>
      </c>
      <c r="O23" t="s">
        <v>430</v>
      </c>
      <c r="P23" t="s">
        <v>431</v>
      </c>
      <c r="Q23" t="s">
        <v>432</v>
      </c>
      <c r="R23" t="s">
        <v>433</v>
      </c>
      <c r="S23" t="s">
        <v>434</v>
      </c>
      <c r="T23" t="s">
        <v>435</v>
      </c>
      <c r="U23" t="s">
        <v>252</v>
      </c>
      <c r="V23" t="s">
        <v>436</v>
      </c>
      <c r="W23" t="s">
        <v>437</v>
      </c>
      <c r="X23" t="s">
        <v>438</v>
      </c>
      <c r="Y23" t="s">
        <v>439</v>
      </c>
      <c r="Z23" t="s">
        <v>281</v>
      </c>
      <c r="AA23" t="s">
        <v>131</v>
      </c>
      <c r="AB23" t="s">
        <v>131</v>
      </c>
      <c r="AC23" t="s">
        <v>131</v>
      </c>
      <c r="AD23" t="s">
        <v>131</v>
      </c>
      <c r="AE23" s="9">
        <v>103.8</v>
      </c>
      <c r="AF23" s="9">
        <v>13.3</v>
      </c>
      <c r="AG23" s="32"/>
      <c r="AH23" s="32">
        <v>7.18</v>
      </c>
    </row>
    <row r="24" spans="1:34">
      <c r="A24" s="16" t="s">
        <v>106</v>
      </c>
      <c r="B24" s="27" t="s">
        <v>425</v>
      </c>
      <c r="C24" s="14" t="s">
        <v>97</v>
      </c>
      <c r="D24" t="s">
        <v>440</v>
      </c>
      <c r="E24">
        <v>246</v>
      </c>
      <c r="F24" t="s">
        <v>131</v>
      </c>
      <c r="G24" t="s">
        <v>441</v>
      </c>
      <c r="H24" t="s">
        <v>442</v>
      </c>
      <c r="I24" t="s">
        <v>443</v>
      </c>
      <c r="J24" t="s">
        <v>444</v>
      </c>
      <c r="K24" t="s">
        <v>445</v>
      </c>
      <c r="L24" t="s">
        <v>131</v>
      </c>
      <c r="M24" t="s">
        <v>131</v>
      </c>
      <c r="N24" t="s">
        <v>445</v>
      </c>
      <c r="O24" t="s">
        <v>272</v>
      </c>
      <c r="P24" t="s">
        <v>446</v>
      </c>
      <c r="Q24" t="s">
        <v>384</v>
      </c>
      <c r="R24" t="s">
        <v>234</v>
      </c>
      <c r="S24" t="s">
        <v>447</v>
      </c>
      <c r="T24" t="s">
        <v>300</v>
      </c>
      <c r="U24" t="s">
        <v>252</v>
      </c>
      <c r="V24" t="s">
        <v>448</v>
      </c>
      <c r="W24" t="s">
        <v>449</v>
      </c>
      <c r="X24" t="s">
        <v>450</v>
      </c>
      <c r="Y24" t="s">
        <v>451</v>
      </c>
      <c r="Z24" t="s">
        <v>281</v>
      </c>
      <c r="AA24" t="s">
        <v>131</v>
      </c>
      <c r="AB24" t="s">
        <v>131</v>
      </c>
      <c r="AC24" t="s">
        <v>131</v>
      </c>
      <c r="AD24" t="s">
        <v>131</v>
      </c>
      <c r="AE24" s="9">
        <v>139.4</v>
      </c>
      <c r="AF24" s="9">
        <v>11.5</v>
      </c>
      <c r="AG24" s="32">
        <v>31</v>
      </c>
      <c r="AH24" s="32">
        <v>3.95</v>
      </c>
    </row>
    <row r="25" spans="1:34">
      <c r="A25" s="7"/>
      <c r="B25" s="27"/>
      <c r="C25" s="14" t="s">
        <v>97</v>
      </c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32"/>
      <c r="AH25" s="32"/>
    </row>
    <row r="26" spans="1:34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C0B14CA-4107-459C-943D-688C9CC085E4}">
      <formula1>"incomplete, COMPLETED"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4368-14A3-42D7-AFD7-9B05B10DEC16}">
  <dimension ref="A1:AZ28"/>
  <sheetViews>
    <sheetView topLeftCell="N2" workbookViewId="0">
      <selection activeCell="A15" sqref="A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452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1.7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45009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47.6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47.6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7590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/>
      <c r="C15" s="14" t="s">
        <v>97</v>
      </c>
      <c r="D15" t="s">
        <v>411</v>
      </c>
      <c r="E15" t="s">
        <v>131</v>
      </c>
      <c r="F15" t="s">
        <v>131</v>
      </c>
      <c r="G15" t="s">
        <v>453</v>
      </c>
      <c r="H15" t="s">
        <v>454</v>
      </c>
      <c r="I15" t="s">
        <v>455</v>
      </c>
      <c r="J15" t="s">
        <v>456</v>
      </c>
      <c r="K15" t="s">
        <v>457</v>
      </c>
      <c r="L15" t="s">
        <v>131</v>
      </c>
      <c r="M15" t="s">
        <v>131</v>
      </c>
      <c r="N15" t="s">
        <v>335</v>
      </c>
      <c r="O15" t="s">
        <v>458</v>
      </c>
      <c r="P15" t="s">
        <v>459</v>
      </c>
      <c r="Q15" t="s">
        <v>460</v>
      </c>
      <c r="R15" t="s">
        <v>461</v>
      </c>
      <c r="S15" t="s">
        <v>462</v>
      </c>
      <c r="T15" t="s">
        <v>202</v>
      </c>
      <c r="U15" t="s">
        <v>230</v>
      </c>
      <c r="V15" t="s">
        <v>463</v>
      </c>
      <c r="W15" t="s">
        <v>464</v>
      </c>
      <c r="X15" t="s">
        <v>465</v>
      </c>
      <c r="Y15" t="s">
        <v>466</v>
      </c>
      <c r="Z15" t="s">
        <v>241</v>
      </c>
      <c r="AA15" t="s">
        <v>131</v>
      </c>
      <c r="AB15" t="s">
        <v>131</v>
      </c>
      <c r="AC15" t="s">
        <v>131</v>
      </c>
      <c r="AD15" t="s">
        <v>131</v>
      </c>
      <c r="AE15" s="18"/>
      <c r="AF15" s="32"/>
      <c r="AG15" s="32"/>
      <c r="AH15" s="32"/>
    </row>
    <row r="16" spans="1:52">
      <c r="A16" s="16" t="s">
        <v>98</v>
      </c>
      <c r="B16" s="27"/>
      <c r="C16" s="14" t="s">
        <v>97</v>
      </c>
      <c r="D16" t="s">
        <v>467</v>
      </c>
      <c r="E16" t="s">
        <v>131</v>
      </c>
      <c r="F16" t="s">
        <v>131</v>
      </c>
      <c r="G16" t="s">
        <v>468</v>
      </c>
      <c r="H16" t="s">
        <v>155</v>
      </c>
      <c r="I16" t="s">
        <v>469</v>
      </c>
      <c r="J16" t="s">
        <v>470</v>
      </c>
      <c r="K16" t="s">
        <v>291</v>
      </c>
      <c r="L16" t="s">
        <v>131</v>
      </c>
      <c r="M16" t="s">
        <v>131</v>
      </c>
      <c r="N16" t="s">
        <v>471</v>
      </c>
      <c r="O16" t="s">
        <v>472</v>
      </c>
      <c r="P16" t="s">
        <v>208</v>
      </c>
      <c r="Q16" t="s">
        <v>473</v>
      </c>
      <c r="R16" t="s">
        <v>131</v>
      </c>
      <c r="S16" t="s">
        <v>131</v>
      </c>
      <c r="T16" t="s">
        <v>131</v>
      </c>
      <c r="U16" t="s">
        <v>131</v>
      </c>
      <c r="V16" t="s">
        <v>131</v>
      </c>
      <c r="W16" t="s">
        <v>131</v>
      </c>
      <c r="X16" t="s">
        <v>131</v>
      </c>
      <c r="Y16" t="s">
        <v>131</v>
      </c>
      <c r="Z16" t="s">
        <v>131</v>
      </c>
      <c r="AA16" t="s">
        <v>131</v>
      </c>
      <c r="AB16" t="s">
        <v>131</v>
      </c>
      <c r="AC16" t="s">
        <v>131</v>
      </c>
      <c r="AD16" t="s">
        <v>131</v>
      </c>
      <c r="AE16" s="18"/>
      <c r="AF16" s="32"/>
      <c r="AG16" s="32"/>
      <c r="AH16" s="32"/>
    </row>
    <row r="17" spans="1:34">
      <c r="A17" s="16" t="s">
        <v>99</v>
      </c>
      <c r="B17" s="27"/>
      <c r="C17" s="14" t="s">
        <v>97</v>
      </c>
      <c r="D17" t="s">
        <v>407</v>
      </c>
      <c r="E17" t="s">
        <v>131</v>
      </c>
      <c r="F17" t="s">
        <v>131</v>
      </c>
      <c r="G17" t="s">
        <v>474</v>
      </c>
      <c r="H17" t="s">
        <v>475</v>
      </c>
      <c r="I17" t="s">
        <v>157</v>
      </c>
      <c r="J17" t="s">
        <v>476</v>
      </c>
      <c r="K17" t="s">
        <v>270</v>
      </c>
      <c r="L17" t="s">
        <v>131</v>
      </c>
      <c r="M17" t="s">
        <v>131</v>
      </c>
      <c r="N17" t="s">
        <v>471</v>
      </c>
      <c r="O17" t="s">
        <v>477</v>
      </c>
      <c r="P17" t="s">
        <v>478</v>
      </c>
      <c r="Q17" t="s">
        <v>473</v>
      </c>
      <c r="R17" t="s">
        <v>479</v>
      </c>
      <c r="S17" t="s">
        <v>480</v>
      </c>
      <c r="T17" t="s">
        <v>481</v>
      </c>
      <c r="U17" t="s">
        <v>137</v>
      </c>
      <c r="V17" t="s">
        <v>482</v>
      </c>
      <c r="W17" t="s">
        <v>483</v>
      </c>
      <c r="X17" t="s">
        <v>484</v>
      </c>
      <c r="Y17" t="s">
        <v>485</v>
      </c>
      <c r="Z17" t="s">
        <v>241</v>
      </c>
      <c r="AA17" t="s">
        <v>131</v>
      </c>
      <c r="AB17" t="s">
        <v>131</v>
      </c>
      <c r="AC17" t="s">
        <v>131</v>
      </c>
      <c r="AD17" t="s">
        <v>131</v>
      </c>
      <c r="AE17" s="18"/>
      <c r="AF17" s="32"/>
      <c r="AG17" s="32"/>
      <c r="AH17" s="32"/>
    </row>
    <row r="18" spans="1:34">
      <c r="A18" s="34" t="s">
        <v>126</v>
      </c>
      <c r="B18" s="27"/>
      <c r="C18" s="14" t="s">
        <v>97</v>
      </c>
      <c r="D18" t="s">
        <v>486</v>
      </c>
      <c r="E18" t="s">
        <v>131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487</v>
      </c>
      <c r="O18" t="s">
        <v>488</v>
      </c>
      <c r="P18" t="s">
        <v>489</v>
      </c>
      <c r="Q18" t="s">
        <v>201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127</v>
      </c>
      <c r="B19" s="27"/>
      <c r="C19" s="14" t="s">
        <v>97</v>
      </c>
      <c r="D19" t="s">
        <v>275</v>
      </c>
      <c r="E19" t="s">
        <v>131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490</v>
      </c>
      <c r="O19" t="s">
        <v>491</v>
      </c>
      <c r="P19" t="s">
        <v>269</v>
      </c>
      <c r="Q19" t="s">
        <v>492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100</v>
      </c>
      <c r="B20" s="27"/>
      <c r="C20" s="14" t="s">
        <v>97</v>
      </c>
      <c r="D20" t="s">
        <v>493</v>
      </c>
      <c r="E20" t="s">
        <v>131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494</v>
      </c>
      <c r="O20" t="s">
        <v>495</v>
      </c>
      <c r="P20" t="s">
        <v>496</v>
      </c>
      <c r="Q20" t="s">
        <v>265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104</v>
      </c>
      <c r="B21" s="27"/>
      <c r="C21" s="14" t="s">
        <v>97</v>
      </c>
      <c r="D21" t="s">
        <v>415</v>
      </c>
      <c r="E21" t="s">
        <v>131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497</v>
      </c>
      <c r="O21" t="s">
        <v>498</v>
      </c>
      <c r="P21" t="s">
        <v>499</v>
      </c>
      <c r="Q21" t="s">
        <v>500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s="18"/>
      <c r="AF21" s="32"/>
      <c r="AG21" s="32"/>
      <c r="AH21" s="32"/>
    </row>
    <row r="22" spans="1:34">
      <c r="A22" s="16" t="s">
        <v>128</v>
      </c>
      <c r="B22" s="27"/>
      <c r="C22" s="14" t="s">
        <v>97</v>
      </c>
      <c r="D22" t="s">
        <v>501</v>
      </c>
      <c r="E22" t="s">
        <v>131</v>
      </c>
      <c r="F22" t="s">
        <v>131</v>
      </c>
      <c r="G22" t="s">
        <v>502</v>
      </c>
      <c r="H22" t="s">
        <v>503</v>
      </c>
      <c r="I22" t="s">
        <v>293</v>
      </c>
      <c r="J22" t="s">
        <v>504</v>
      </c>
      <c r="K22" t="s">
        <v>505</v>
      </c>
      <c r="L22" t="s">
        <v>131</v>
      </c>
      <c r="M22" t="s">
        <v>131</v>
      </c>
      <c r="N22" t="s">
        <v>497</v>
      </c>
      <c r="O22" t="s">
        <v>506</v>
      </c>
      <c r="P22" t="s">
        <v>507</v>
      </c>
      <c r="Q22" t="s">
        <v>265</v>
      </c>
      <c r="R22" t="s">
        <v>479</v>
      </c>
      <c r="S22" t="s">
        <v>479</v>
      </c>
      <c r="T22" t="s">
        <v>508</v>
      </c>
      <c r="U22" t="s">
        <v>137</v>
      </c>
      <c r="V22" t="s">
        <v>509</v>
      </c>
      <c r="W22" t="s">
        <v>510</v>
      </c>
      <c r="X22" t="s">
        <v>511</v>
      </c>
      <c r="Y22" t="s">
        <v>512</v>
      </c>
      <c r="Z22" t="s">
        <v>513</v>
      </c>
      <c r="AA22" t="s">
        <v>131</v>
      </c>
      <c r="AB22" t="s">
        <v>131</v>
      </c>
      <c r="AC22" t="s">
        <v>131</v>
      </c>
      <c r="AD22" t="s">
        <v>131</v>
      </c>
      <c r="AE22" s="9"/>
      <c r="AF22" s="9"/>
      <c r="AG22" s="32"/>
      <c r="AH22" s="32"/>
    </row>
    <row r="23" spans="1:34">
      <c r="A23" s="16" t="s">
        <v>105</v>
      </c>
      <c r="B23" s="27"/>
      <c r="C23" s="14" t="s">
        <v>97</v>
      </c>
      <c r="D23" t="s">
        <v>514</v>
      </c>
      <c r="E23" t="s">
        <v>131</v>
      </c>
      <c r="F23" t="s">
        <v>131</v>
      </c>
      <c r="G23" t="s">
        <v>515</v>
      </c>
      <c r="H23" t="s">
        <v>262</v>
      </c>
      <c r="I23" t="s">
        <v>516</v>
      </c>
      <c r="J23" t="s">
        <v>517</v>
      </c>
      <c r="K23" t="s">
        <v>518</v>
      </c>
      <c r="L23" t="s">
        <v>131</v>
      </c>
      <c r="M23" t="s">
        <v>131</v>
      </c>
      <c r="N23" t="s">
        <v>519</v>
      </c>
      <c r="O23" t="s">
        <v>520</v>
      </c>
      <c r="P23" t="s">
        <v>521</v>
      </c>
      <c r="Q23" t="s">
        <v>522</v>
      </c>
      <c r="R23" t="s">
        <v>479</v>
      </c>
      <c r="S23" t="s">
        <v>479</v>
      </c>
      <c r="T23" t="s">
        <v>523</v>
      </c>
      <c r="U23" t="s">
        <v>524</v>
      </c>
      <c r="V23" t="s">
        <v>525</v>
      </c>
      <c r="W23" t="s">
        <v>526</v>
      </c>
      <c r="X23" t="s">
        <v>527</v>
      </c>
      <c r="Y23" t="s">
        <v>528</v>
      </c>
      <c r="Z23" t="s">
        <v>333</v>
      </c>
      <c r="AA23" t="s">
        <v>131</v>
      </c>
      <c r="AB23" t="s">
        <v>131</v>
      </c>
      <c r="AC23" t="s">
        <v>131</v>
      </c>
      <c r="AD23" t="s">
        <v>131</v>
      </c>
      <c r="AE23" s="9"/>
      <c r="AF23" s="9"/>
      <c r="AG23" s="32"/>
      <c r="AH23" s="32"/>
    </row>
    <row r="24" spans="1:34">
      <c r="A24" s="16" t="s">
        <v>106</v>
      </c>
      <c r="B24" s="27"/>
      <c r="C24" s="14" t="s">
        <v>97</v>
      </c>
      <c r="D24" t="s">
        <v>243</v>
      </c>
      <c r="E24" t="s">
        <v>131</v>
      </c>
      <c r="F24" t="s">
        <v>131</v>
      </c>
      <c r="G24" t="s">
        <v>529</v>
      </c>
      <c r="H24" t="s">
        <v>530</v>
      </c>
      <c r="I24" t="s">
        <v>531</v>
      </c>
      <c r="J24" t="s">
        <v>476</v>
      </c>
      <c r="K24" t="s">
        <v>532</v>
      </c>
      <c r="L24" t="s">
        <v>131</v>
      </c>
      <c r="M24" t="s">
        <v>131</v>
      </c>
      <c r="N24" t="s">
        <v>182</v>
      </c>
      <c r="O24" t="s">
        <v>533</v>
      </c>
      <c r="P24" t="s">
        <v>534</v>
      </c>
      <c r="Q24" t="s">
        <v>535</v>
      </c>
      <c r="R24" t="s">
        <v>479</v>
      </c>
      <c r="S24" t="s">
        <v>479</v>
      </c>
      <c r="T24" t="s">
        <v>536</v>
      </c>
      <c r="U24" t="s">
        <v>252</v>
      </c>
      <c r="V24" t="s">
        <v>537</v>
      </c>
      <c r="W24" t="s">
        <v>538</v>
      </c>
      <c r="X24" t="s">
        <v>539</v>
      </c>
      <c r="Y24" t="s">
        <v>540</v>
      </c>
      <c r="Z24" t="s">
        <v>541</v>
      </c>
      <c r="AA24" t="s">
        <v>131</v>
      </c>
      <c r="AB24" t="s">
        <v>131</v>
      </c>
      <c r="AC24" t="s">
        <v>131</v>
      </c>
      <c r="AD24" t="s">
        <v>131</v>
      </c>
      <c r="AE24" s="9"/>
      <c r="AF24" s="9"/>
      <c r="AG24" s="32"/>
      <c r="AH24" s="32"/>
    </row>
    <row r="25" spans="1:34">
      <c r="A25" s="7"/>
      <c r="B25" s="27"/>
      <c r="C25" s="14" t="s">
        <v>97</v>
      </c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32"/>
      <c r="AH25" s="32"/>
    </row>
    <row r="26" spans="1:34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E811E1B-B38E-4C5E-BCDD-B6B36E7E9E26}">
      <formula1>"incomplete, COMPLETED"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2253-FE6E-4ADC-B2C4-4FC396CD063F}">
  <dimension ref="A1:AZ28"/>
  <sheetViews>
    <sheetView tabSelected="1" topLeftCell="I4" workbookViewId="0">
      <selection activeCell="K7" sqref="K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542</v>
      </c>
      <c r="C4" s="53"/>
      <c r="D4" s="5"/>
      <c r="E4" s="4" t="s">
        <v>4</v>
      </c>
      <c r="F4" s="54" t="s">
        <v>115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1.63</v>
      </c>
      <c r="C5" s="53"/>
      <c r="D5" s="5"/>
      <c r="E5" s="4" t="s">
        <v>8</v>
      </c>
      <c r="F5" s="56" t="s">
        <v>543</v>
      </c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46111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51.3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51.3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8216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0.3298611111111111</v>
      </c>
      <c r="C15" s="14" t="s">
        <v>97</v>
      </c>
      <c r="D15">
        <v>92</v>
      </c>
      <c r="E15">
        <v>264</v>
      </c>
      <c r="F15" t="s">
        <v>131</v>
      </c>
      <c r="G15" t="s">
        <v>544</v>
      </c>
      <c r="H15" t="s">
        <v>513</v>
      </c>
      <c r="I15" t="s">
        <v>545</v>
      </c>
      <c r="J15" t="s">
        <v>397</v>
      </c>
      <c r="K15" t="s">
        <v>546</v>
      </c>
      <c r="L15" t="s">
        <v>131</v>
      </c>
      <c r="M15" t="s">
        <v>131</v>
      </c>
      <c r="N15">
        <v>2.1</v>
      </c>
      <c r="O15" t="s">
        <v>131</v>
      </c>
      <c r="P15" t="s">
        <v>131</v>
      </c>
      <c r="Q15" t="s">
        <v>131</v>
      </c>
      <c r="R15" t="s">
        <v>131</v>
      </c>
      <c r="S15" t="s">
        <v>131</v>
      </c>
      <c r="T15" t="s">
        <v>131</v>
      </c>
      <c r="U15" t="s">
        <v>131</v>
      </c>
      <c r="V15" t="s">
        <v>131</v>
      </c>
      <c r="W15" t="s">
        <v>131</v>
      </c>
      <c r="X15" t="s">
        <v>131</v>
      </c>
      <c r="Y15" t="s">
        <v>131</v>
      </c>
      <c r="Z15" t="s">
        <v>131</v>
      </c>
      <c r="AA15" t="s">
        <v>131</v>
      </c>
      <c r="AB15" t="s">
        <v>131</v>
      </c>
      <c r="AC15" t="s">
        <v>131</v>
      </c>
      <c r="AD15" t="s">
        <v>131</v>
      </c>
      <c r="AE15" s="18"/>
      <c r="AF15" s="32"/>
      <c r="AG15" s="32"/>
      <c r="AH15" s="32"/>
    </row>
    <row r="16" spans="1:52">
      <c r="A16" s="16" t="s">
        <v>98</v>
      </c>
      <c r="B16" s="27">
        <v>0.42569444444444443</v>
      </c>
      <c r="C16" s="14" t="s">
        <v>97</v>
      </c>
      <c r="D16">
        <v>40</v>
      </c>
      <c r="E16">
        <v>295</v>
      </c>
      <c r="F16" t="s">
        <v>131</v>
      </c>
      <c r="G16" t="s">
        <v>301</v>
      </c>
      <c r="H16" t="s">
        <v>302</v>
      </c>
      <c r="I16" t="s">
        <v>547</v>
      </c>
      <c r="J16" t="s">
        <v>388</v>
      </c>
      <c r="K16" t="s">
        <v>268</v>
      </c>
      <c r="L16" t="s">
        <v>131</v>
      </c>
      <c r="M16" t="s">
        <v>131</v>
      </c>
      <c r="N16">
        <v>10.1</v>
      </c>
      <c r="O16" t="s">
        <v>131</v>
      </c>
      <c r="P16" t="s">
        <v>131</v>
      </c>
      <c r="Q16" t="s">
        <v>131</v>
      </c>
      <c r="R16" t="s">
        <v>131</v>
      </c>
      <c r="S16" t="s">
        <v>131</v>
      </c>
      <c r="T16" t="s">
        <v>131</v>
      </c>
      <c r="U16" t="s">
        <v>131</v>
      </c>
      <c r="V16" t="s">
        <v>131</v>
      </c>
      <c r="W16" t="s">
        <v>131</v>
      </c>
      <c r="X16" t="s">
        <v>131</v>
      </c>
      <c r="Y16" t="s">
        <v>131</v>
      </c>
      <c r="Z16" t="s">
        <v>131</v>
      </c>
      <c r="AA16" t="s">
        <v>131</v>
      </c>
      <c r="AB16" t="s">
        <v>131</v>
      </c>
      <c r="AC16" t="s">
        <v>131</v>
      </c>
      <c r="AD16" t="s">
        <v>131</v>
      </c>
      <c r="AE16" s="18"/>
      <c r="AF16" s="32"/>
      <c r="AG16" s="32"/>
      <c r="AH16" s="32"/>
    </row>
    <row r="17" spans="1:34">
      <c r="A17" s="16" t="s">
        <v>99</v>
      </c>
      <c r="B17" s="27">
        <v>0.43263888888888891</v>
      </c>
      <c r="C17" s="14" t="s">
        <v>97</v>
      </c>
      <c r="D17">
        <v>56</v>
      </c>
      <c r="E17">
        <v>289</v>
      </c>
      <c r="F17" t="s">
        <v>131</v>
      </c>
      <c r="G17" t="s">
        <v>548</v>
      </c>
      <c r="H17" t="s">
        <v>176</v>
      </c>
      <c r="I17" t="s">
        <v>549</v>
      </c>
      <c r="J17" t="s">
        <v>550</v>
      </c>
      <c r="K17" t="s">
        <v>378</v>
      </c>
      <c r="L17" t="s">
        <v>131</v>
      </c>
      <c r="M17" t="s">
        <v>131</v>
      </c>
      <c r="N17">
        <v>11.3</v>
      </c>
      <c r="O17" t="s">
        <v>131</v>
      </c>
      <c r="P17" t="s">
        <v>131</v>
      </c>
      <c r="Q17" t="s">
        <v>131</v>
      </c>
      <c r="R17" t="s">
        <v>131</v>
      </c>
      <c r="S17" t="s">
        <v>131</v>
      </c>
      <c r="T17" t="s">
        <v>131</v>
      </c>
      <c r="U17" t="s">
        <v>131</v>
      </c>
      <c r="V17" t="s">
        <v>131</v>
      </c>
      <c r="W17" t="s">
        <v>131</v>
      </c>
      <c r="X17" t="s">
        <v>131</v>
      </c>
      <c r="Y17" t="s">
        <v>131</v>
      </c>
      <c r="Z17" t="s">
        <v>131</v>
      </c>
      <c r="AA17" t="s">
        <v>131</v>
      </c>
      <c r="AB17" t="s">
        <v>131</v>
      </c>
      <c r="AC17" t="s">
        <v>131</v>
      </c>
      <c r="AD17" t="s">
        <v>131</v>
      </c>
      <c r="AE17" s="18"/>
      <c r="AF17" s="32"/>
      <c r="AG17" s="32"/>
      <c r="AH17" s="32"/>
    </row>
    <row r="18" spans="1:34">
      <c r="A18" s="34" t="s">
        <v>100</v>
      </c>
      <c r="B18" s="27">
        <v>0.47430555555555554</v>
      </c>
      <c r="C18" s="14" t="s">
        <v>97</v>
      </c>
      <c r="D18">
        <v>71</v>
      </c>
      <c r="E18">
        <v>2289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>
        <v>9.6999999999999993</v>
      </c>
      <c r="O18">
        <v>7.4219999999999997</v>
      </c>
      <c r="P18">
        <v>37.6</v>
      </c>
      <c r="Q18">
        <v>71.2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101</v>
      </c>
      <c r="B19" s="27">
        <v>0.51597222222222228</v>
      </c>
      <c r="C19" s="14" t="s">
        <v>97</v>
      </c>
      <c r="D19">
        <v>70</v>
      </c>
      <c r="E19">
        <v>294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>
        <v>7.3</v>
      </c>
      <c r="O19">
        <v>7.4240000000000004</v>
      </c>
      <c r="P19">
        <v>39.6</v>
      </c>
      <c r="Q19">
        <v>91.6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102</v>
      </c>
      <c r="B20" s="27">
        <v>0.55763888888888891</v>
      </c>
      <c r="C20" s="14" t="s">
        <v>97</v>
      </c>
      <c r="D20">
        <v>80</v>
      </c>
      <c r="E20">
        <v>297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>
        <v>7.3</v>
      </c>
      <c r="O20">
        <v>7.4530000000000003</v>
      </c>
      <c r="P20">
        <v>38.700000000000003</v>
      </c>
      <c r="Q20">
        <v>93.2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103</v>
      </c>
      <c r="B21" s="27"/>
      <c r="C21" s="14" t="s">
        <v>97</v>
      </c>
      <c r="D21" t="s">
        <v>131</v>
      </c>
      <c r="E21" t="s">
        <v>131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s="18"/>
      <c r="AF21" s="32"/>
      <c r="AG21" s="32"/>
      <c r="AH21" s="32"/>
    </row>
    <row r="22" spans="1:34">
      <c r="A22" s="16" t="s">
        <v>128</v>
      </c>
      <c r="B22" s="27"/>
      <c r="C22" s="14" t="s">
        <v>97</v>
      </c>
      <c r="D22" t="s">
        <v>131</v>
      </c>
      <c r="E22" t="s">
        <v>131</v>
      </c>
      <c r="F22" t="s">
        <v>131</v>
      </c>
      <c r="G22" t="s">
        <v>551</v>
      </c>
      <c r="H22" t="s">
        <v>552</v>
      </c>
      <c r="I22" t="s">
        <v>553</v>
      </c>
      <c r="J22" t="s">
        <v>235</v>
      </c>
      <c r="K22" t="s">
        <v>554</v>
      </c>
      <c r="L22" t="s">
        <v>131</v>
      </c>
      <c r="M22" t="s">
        <v>131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131</v>
      </c>
      <c r="T22" t="s">
        <v>131</v>
      </c>
      <c r="U22" t="s">
        <v>131</v>
      </c>
      <c r="V22" t="s">
        <v>131</v>
      </c>
      <c r="W22" t="s">
        <v>131</v>
      </c>
      <c r="X22" t="s">
        <v>131</v>
      </c>
      <c r="Y22" t="s">
        <v>131</v>
      </c>
      <c r="Z22" t="s">
        <v>131</v>
      </c>
      <c r="AA22" t="s">
        <v>131</v>
      </c>
      <c r="AB22" t="s">
        <v>131</v>
      </c>
      <c r="AC22" t="s">
        <v>131</v>
      </c>
      <c r="AD22" t="s">
        <v>131</v>
      </c>
      <c r="AE22" s="9"/>
      <c r="AF22" s="9"/>
      <c r="AG22" s="32"/>
      <c r="AH22" s="32"/>
    </row>
    <row r="23" spans="1:34">
      <c r="A23" s="16" t="s">
        <v>105</v>
      </c>
      <c r="B23" s="27"/>
      <c r="C23" s="14" t="s">
        <v>97</v>
      </c>
      <c r="D23" t="s">
        <v>131</v>
      </c>
      <c r="E23" t="s">
        <v>131</v>
      </c>
      <c r="F23" t="s">
        <v>131</v>
      </c>
      <c r="G23" t="s">
        <v>555</v>
      </c>
      <c r="H23" t="s">
        <v>556</v>
      </c>
      <c r="I23" t="s">
        <v>298</v>
      </c>
      <c r="J23" t="s">
        <v>557</v>
      </c>
      <c r="K23" t="s">
        <v>417</v>
      </c>
      <c r="L23" t="s">
        <v>131</v>
      </c>
      <c r="M23" t="s">
        <v>131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131</v>
      </c>
      <c r="T23" t="s">
        <v>131</v>
      </c>
      <c r="U23" t="s">
        <v>131</v>
      </c>
      <c r="V23" t="s">
        <v>131</v>
      </c>
      <c r="W23" t="s">
        <v>131</v>
      </c>
      <c r="X23" t="s">
        <v>131</v>
      </c>
      <c r="Y23" t="s">
        <v>131</v>
      </c>
      <c r="Z23" t="s">
        <v>131</v>
      </c>
      <c r="AA23" t="s">
        <v>131</v>
      </c>
      <c r="AB23" t="s">
        <v>131</v>
      </c>
      <c r="AC23" t="s">
        <v>131</v>
      </c>
      <c r="AD23" t="s">
        <v>131</v>
      </c>
      <c r="AE23" s="9"/>
      <c r="AF23" s="9"/>
      <c r="AG23" s="32"/>
      <c r="AH23" s="32"/>
    </row>
    <row r="24" spans="1:34">
      <c r="A24" s="16" t="s">
        <v>106</v>
      </c>
      <c r="B24" s="27"/>
      <c r="C24" s="14" t="s">
        <v>97</v>
      </c>
      <c r="D24" t="s">
        <v>131</v>
      </c>
      <c r="E24" t="s">
        <v>131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131</v>
      </c>
      <c r="W24" t="s">
        <v>131</v>
      </c>
      <c r="X24" t="s">
        <v>131</v>
      </c>
      <c r="Y24" t="s">
        <v>131</v>
      </c>
      <c r="Z24" t="s">
        <v>131</v>
      </c>
      <c r="AA24" t="s">
        <v>131</v>
      </c>
      <c r="AB24" t="s">
        <v>131</v>
      </c>
      <c r="AC24" t="s">
        <v>131</v>
      </c>
      <c r="AD24" t="s">
        <v>131</v>
      </c>
      <c r="AE24" s="9"/>
      <c r="AF24" s="9"/>
      <c r="AG24" s="32"/>
      <c r="AH24" s="32"/>
    </row>
    <row r="25" spans="1:34">
      <c r="A25" s="7"/>
      <c r="B25" s="27"/>
      <c r="C25" s="14" t="s">
        <v>97</v>
      </c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32"/>
      <c r="AH25" s="32"/>
    </row>
    <row r="26" spans="1:34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25E0509-6C01-4084-A870-EC4E67575085}">
      <formula1>"incomplete, COMPLETED"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0499-45D1-457F-8995-0F705CA2756A}">
  <dimension ref="A1:AZ29"/>
  <sheetViews>
    <sheetView topLeftCell="E7" workbookViewId="0">
      <selection activeCell="AE21" sqref="AE21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558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1.7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46113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53.5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53.5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8218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0.3125</v>
      </c>
      <c r="C15" s="14" t="s">
        <v>97</v>
      </c>
      <c r="D15">
        <v>28</v>
      </c>
      <c r="E15">
        <v>268</v>
      </c>
      <c r="F15" t="s">
        <v>131</v>
      </c>
      <c r="G15">
        <v>5.82</v>
      </c>
      <c r="H15">
        <v>13</v>
      </c>
      <c r="I15">
        <v>38</v>
      </c>
      <c r="J15">
        <v>196</v>
      </c>
      <c r="K15">
        <v>9.3000000000000007</v>
      </c>
      <c r="L15" t="s">
        <v>131</v>
      </c>
      <c r="M15" t="s">
        <v>131</v>
      </c>
      <c r="N15" t="s">
        <v>559</v>
      </c>
      <c r="O15" t="s">
        <v>560</v>
      </c>
      <c r="P15" t="s">
        <v>561</v>
      </c>
      <c r="Q15" t="s">
        <v>562</v>
      </c>
      <c r="R15" t="s">
        <v>514</v>
      </c>
      <c r="S15" t="s">
        <v>218</v>
      </c>
      <c r="T15" t="s">
        <v>563</v>
      </c>
      <c r="U15" t="s">
        <v>564</v>
      </c>
      <c r="V15" t="s">
        <v>565</v>
      </c>
      <c r="W15" t="s">
        <v>566</v>
      </c>
      <c r="X15" t="s">
        <v>567</v>
      </c>
      <c r="Y15" t="s">
        <v>568</v>
      </c>
      <c r="Z15" t="s">
        <v>281</v>
      </c>
      <c r="AA15" t="s">
        <v>131</v>
      </c>
      <c r="AB15" t="s">
        <v>131</v>
      </c>
      <c r="AC15" t="s">
        <v>131</v>
      </c>
      <c r="AD15" t="s">
        <v>131</v>
      </c>
      <c r="AE15" s="18">
        <v>15.1</v>
      </c>
      <c r="AF15" s="32">
        <v>16.399999999999999</v>
      </c>
      <c r="AG15" s="32"/>
      <c r="AH15" s="32">
        <v>2.57</v>
      </c>
    </row>
    <row r="16" spans="1:52">
      <c r="A16" s="16" t="s">
        <v>98</v>
      </c>
      <c r="B16" s="27">
        <v>0.40972222222222221</v>
      </c>
      <c r="C16" s="14" t="s">
        <v>97</v>
      </c>
      <c r="D16" t="s">
        <v>218</v>
      </c>
      <c r="E16">
        <v>176</v>
      </c>
      <c r="F16" t="s">
        <v>131</v>
      </c>
      <c r="G16">
        <v>3.39</v>
      </c>
      <c r="H16">
        <v>7.4</v>
      </c>
      <c r="I16">
        <v>21.6</v>
      </c>
      <c r="J16">
        <v>170</v>
      </c>
      <c r="K16">
        <v>6.9</v>
      </c>
      <c r="L16" t="s">
        <v>131</v>
      </c>
      <c r="M16" t="s">
        <v>131</v>
      </c>
      <c r="N16" t="s">
        <v>569</v>
      </c>
      <c r="O16" t="s">
        <v>570</v>
      </c>
      <c r="P16" t="s">
        <v>571</v>
      </c>
      <c r="Q16" t="s">
        <v>572</v>
      </c>
      <c r="R16">
        <v>96</v>
      </c>
      <c r="S16">
        <v>60</v>
      </c>
      <c r="T16">
        <v>355</v>
      </c>
      <c r="U16">
        <v>0.5</v>
      </c>
      <c r="V16">
        <v>20.98</v>
      </c>
      <c r="W16">
        <v>191</v>
      </c>
      <c r="X16">
        <v>288.08999999999997</v>
      </c>
      <c r="Y16">
        <v>442.41</v>
      </c>
      <c r="Z16">
        <v>7</v>
      </c>
      <c r="AA16" t="s">
        <v>131</v>
      </c>
      <c r="AB16" t="s">
        <v>131</v>
      </c>
      <c r="AC16" t="s">
        <v>131</v>
      </c>
      <c r="AD16" t="s">
        <v>131</v>
      </c>
      <c r="AE16" s="18">
        <v>140.1</v>
      </c>
      <c r="AF16" s="32">
        <v>12</v>
      </c>
      <c r="AG16" s="32">
        <v>26.8</v>
      </c>
      <c r="AH16" s="32">
        <v>1.23</v>
      </c>
    </row>
    <row r="17" spans="1:34">
      <c r="A17" s="16" t="s">
        <v>99</v>
      </c>
      <c r="B17" s="27">
        <v>0.41666666666666669</v>
      </c>
      <c r="C17" s="14" t="s">
        <v>97</v>
      </c>
      <c r="D17" t="s">
        <v>573</v>
      </c>
      <c r="E17">
        <v>241</v>
      </c>
      <c r="F17" t="s">
        <v>131</v>
      </c>
      <c r="G17">
        <v>4.46</v>
      </c>
      <c r="H17">
        <v>9.9</v>
      </c>
      <c r="I17">
        <v>28.5</v>
      </c>
      <c r="J17">
        <v>112</v>
      </c>
      <c r="K17">
        <v>8.3000000000000007</v>
      </c>
      <c r="L17" t="s">
        <v>131</v>
      </c>
      <c r="M17" t="s">
        <v>131</v>
      </c>
      <c r="N17" t="s">
        <v>513</v>
      </c>
      <c r="O17" t="s">
        <v>574</v>
      </c>
      <c r="P17" t="s">
        <v>575</v>
      </c>
      <c r="Q17" t="s">
        <v>576</v>
      </c>
      <c r="R17" t="s">
        <v>577</v>
      </c>
      <c r="S17" t="s">
        <v>218</v>
      </c>
      <c r="T17" t="s">
        <v>578</v>
      </c>
      <c r="U17" t="s">
        <v>230</v>
      </c>
      <c r="V17" t="s">
        <v>482</v>
      </c>
      <c r="W17" t="s">
        <v>579</v>
      </c>
      <c r="X17" t="s">
        <v>580</v>
      </c>
      <c r="Y17" t="s">
        <v>581</v>
      </c>
      <c r="Z17" t="s">
        <v>149</v>
      </c>
      <c r="AA17" t="s">
        <v>131</v>
      </c>
      <c r="AB17" t="s">
        <v>131</v>
      </c>
      <c r="AC17" t="s">
        <v>131</v>
      </c>
      <c r="AD17" t="s">
        <v>131</v>
      </c>
      <c r="AE17" s="18">
        <v>140.80000000000001</v>
      </c>
      <c r="AF17" s="32">
        <v>12.1</v>
      </c>
      <c r="AG17" s="32">
        <v>27.4</v>
      </c>
      <c r="AH17" s="32">
        <v>1.31</v>
      </c>
    </row>
    <row r="18" spans="1:34">
      <c r="A18" s="34" t="s">
        <v>100</v>
      </c>
      <c r="B18" s="27">
        <v>0.46180555555555558</v>
      </c>
      <c r="C18" s="14" t="s">
        <v>97</v>
      </c>
      <c r="D18" t="s">
        <v>315</v>
      </c>
      <c r="E18">
        <v>281</v>
      </c>
      <c r="F18" t="s">
        <v>131</v>
      </c>
      <c r="K18" t="s">
        <v>131</v>
      </c>
      <c r="L18" t="s">
        <v>131</v>
      </c>
      <c r="M18" t="s">
        <v>131</v>
      </c>
      <c r="N18" t="s">
        <v>582</v>
      </c>
      <c r="O18" t="s">
        <v>583</v>
      </c>
      <c r="P18" t="s">
        <v>584</v>
      </c>
      <c r="Q18" t="s">
        <v>142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101</v>
      </c>
      <c r="B19" s="27">
        <v>0.5</v>
      </c>
      <c r="C19" s="14" t="s">
        <v>97</v>
      </c>
      <c r="D19" t="s">
        <v>585</v>
      </c>
      <c r="E19">
        <v>289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586</v>
      </c>
      <c r="O19" t="s">
        <v>587</v>
      </c>
      <c r="P19" t="s">
        <v>408</v>
      </c>
      <c r="Q19" t="s">
        <v>588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102</v>
      </c>
      <c r="B20" s="27">
        <v>0.54166666666666663</v>
      </c>
      <c r="C20" s="14" t="s">
        <v>97</v>
      </c>
      <c r="D20" t="s">
        <v>309</v>
      </c>
      <c r="E20">
        <v>289</v>
      </c>
      <c r="N20" t="s">
        <v>589</v>
      </c>
      <c r="O20" t="s">
        <v>590</v>
      </c>
      <c r="P20" t="s">
        <v>591</v>
      </c>
      <c r="Q20" t="s">
        <v>592</v>
      </c>
      <c r="AE20" s="18"/>
      <c r="AF20" s="32"/>
      <c r="AG20" s="32"/>
      <c r="AH20" s="32"/>
    </row>
    <row r="21" spans="1:34">
      <c r="A21" s="40">
        <v>2.5000000000000001E-2</v>
      </c>
      <c r="B21" s="41">
        <v>0.58333333333333337</v>
      </c>
      <c r="C21" s="42" t="s">
        <v>97</v>
      </c>
      <c r="D21" t="s">
        <v>593</v>
      </c>
      <c r="E21" s="43">
        <v>284</v>
      </c>
      <c r="F21" s="31" t="s">
        <v>131</v>
      </c>
      <c r="G21" s="31" t="s">
        <v>131</v>
      </c>
      <c r="H21" s="3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296</v>
      </c>
      <c r="O21" t="s">
        <v>594</v>
      </c>
      <c r="P21" t="s">
        <v>408</v>
      </c>
      <c r="Q21" t="s">
        <v>573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s="18"/>
      <c r="AF21" s="32"/>
      <c r="AG21" s="32"/>
      <c r="AH21" s="32"/>
    </row>
    <row r="22" spans="1:34">
      <c r="A22" s="16" t="s">
        <v>104</v>
      </c>
      <c r="B22" s="27">
        <v>0.60416666666666663</v>
      </c>
      <c r="C22" s="14" t="s">
        <v>97</v>
      </c>
      <c r="D22" t="s">
        <v>141</v>
      </c>
      <c r="E22">
        <v>289</v>
      </c>
      <c r="F22" t="s">
        <v>131</v>
      </c>
      <c r="G22">
        <v>4.96</v>
      </c>
      <c r="H22">
        <v>11</v>
      </c>
      <c r="I22">
        <v>31.7</v>
      </c>
      <c r="J22">
        <v>103</v>
      </c>
      <c r="K22">
        <v>8.8000000000000007</v>
      </c>
      <c r="L22" t="s">
        <v>131</v>
      </c>
      <c r="M22" t="s">
        <v>131</v>
      </c>
      <c r="N22" t="s">
        <v>595</v>
      </c>
      <c r="O22" t="s">
        <v>596</v>
      </c>
      <c r="P22" t="s">
        <v>549</v>
      </c>
      <c r="Q22" t="s">
        <v>597</v>
      </c>
      <c r="R22" t="s">
        <v>598</v>
      </c>
      <c r="S22" t="s">
        <v>557</v>
      </c>
      <c r="T22" t="s">
        <v>599</v>
      </c>
      <c r="U22" t="s">
        <v>524</v>
      </c>
      <c r="V22" t="s">
        <v>600</v>
      </c>
      <c r="W22" t="s">
        <v>601</v>
      </c>
      <c r="X22" t="s">
        <v>602</v>
      </c>
      <c r="Y22" t="s">
        <v>603</v>
      </c>
      <c r="Z22" t="s">
        <v>604</v>
      </c>
      <c r="AA22" t="s">
        <v>131</v>
      </c>
      <c r="AB22" t="s">
        <v>131</v>
      </c>
      <c r="AC22" t="s">
        <v>131</v>
      </c>
      <c r="AD22" t="s">
        <v>131</v>
      </c>
      <c r="AE22" s="18">
        <v>143.1</v>
      </c>
      <c r="AF22" s="32">
        <v>11.1</v>
      </c>
      <c r="AG22" s="32">
        <v>79.2</v>
      </c>
      <c r="AH22" s="32">
        <v>2.62</v>
      </c>
    </row>
    <row r="23" spans="1:34">
      <c r="A23" s="16" t="s">
        <v>105</v>
      </c>
      <c r="B23" s="27">
        <v>0.41666666666666669</v>
      </c>
      <c r="C23" s="14" t="s">
        <v>97</v>
      </c>
      <c r="D23" t="s">
        <v>193</v>
      </c>
      <c r="E23">
        <v>299</v>
      </c>
      <c r="F23" t="s">
        <v>131</v>
      </c>
      <c r="G23">
        <v>5.37</v>
      </c>
      <c r="H23">
        <v>12.2</v>
      </c>
      <c r="I23">
        <v>34.6</v>
      </c>
      <c r="J23">
        <v>151</v>
      </c>
      <c r="K23">
        <v>6.6</v>
      </c>
      <c r="L23" t="s">
        <v>131</v>
      </c>
      <c r="M23" t="s">
        <v>131</v>
      </c>
      <c r="N23" t="s">
        <v>296</v>
      </c>
      <c r="O23" t="s">
        <v>605</v>
      </c>
      <c r="P23" t="s">
        <v>575</v>
      </c>
      <c r="Q23" t="s">
        <v>606</v>
      </c>
      <c r="R23" t="s">
        <v>607</v>
      </c>
      <c r="S23" t="s">
        <v>608</v>
      </c>
      <c r="T23" t="s">
        <v>609</v>
      </c>
      <c r="U23" t="s">
        <v>252</v>
      </c>
      <c r="V23" t="s">
        <v>610</v>
      </c>
      <c r="W23" t="s">
        <v>611</v>
      </c>
      <c r="X23" t="s">
        <v>612</v>
      </c>
      <c r="Y23" t="s">
        <v>613</v>
      </c>
      <c r="Z23" t="s">
        <v>389</v>
      </c>
      <c r="AA23" t="s">
        <v>131</v>
      </c>
      <c r="AB23" t="s">
        <v>131</v>
      </c>
      <c r="AC23" t="s">
        <v>131</v>
      </c>
      <c r="AD23" t="s">
        <v>131</v>
      </c>
      <c r="AE23" s="9">
        <v>137.07</v>
      </c>
      <c r="AF23" s="9">
        <v>8.6999999999999993</v>
      </c>
      <c r="AG23" s="32">
        <v>17.8</v>
      </c>
      <c r="AH23" s="32">
        <v>2.82</v>
      </c>
    </row>
    <row r="24" spans="1:34">
      <c r="A24" s="16" t="s">
        <v>106</v>
      </c>
      <c r="B24" s="27">
        <v>0.35416666666666669</v>
      </c>
      <c r="C24" s="14" t="s">
        <v>97</v>
      </c>
      <c r="D24" t="s">
        <v>315</v>
      </c>
      <c r="E24">
        <v>291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>
        <v>2</v>
      </c>
      <c r="O24" t="s">
        <v>533</v>
      </c>
      <c r="P24" t="s">
        <v>431</v>
      </c>
      <c r="Q24" t="s">
        <v>614</v>
      </c>
      <c r="R24" t="s">
        <v>615</v>
      </c>
      <c r="S24" t="s">
        <v>616</v>
      </c>
      <c r="T24" t="s">
        <v>617</v>
      </c>
      <c r="U24" t="s">
        <v>171</v>
      </c>
      <c r="V24" t="s">
        <v>618</v>
      </c>
      <c r="W24" t="s">
        <v>619</v>
      </c>
      <c r="X24" t="s">
        <v>620</v>
      </c>
      <c r="Y24" t="s">
        <v>621</v>
      </c>
      <c r="Z24" t="s">
        <v>604</v>
      </c>
      <c r="AA24" t="s">
        <v>131</v>
      </c>
      <c r="AB24" t="s">
        <v>131</v>
      </c>
      <c r="AC24" t="s">
        <v>131</v>
      </c>
      <c r="AD24" t="s">
        <v>131</v>
      </c>
      <c r="AE24" s="9">
        <v>140.9</v>
      </c>
      <c r="AF24" s="9">
        <v>8.8000000000000007</v>
      </c>
      <c r="AG24" s="32">
        <v>21.1</v>
      </c>
      <c r="AH24" s="32">
        <v>4.4000000000000004</v>
      </c>
    </row>
    <row r="25" spans="1:34">
      <c r="A25" s="16"/>
      <c r="B25" s="27"/>
      <c r="C25" s="14"/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32"/>
      <c r="AH25" s="32"/>
    </row>
    <row r="26" spans="1:34">
      <c r="A26" s="7"/>
      <c r="B26" s="27"/>
      <c r="C26" s="14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32"/>
      <c r="AH26" s="32"/>
    </row>
    <row r="27" spans="1:34">
      <c r="A27" s="7"/>
      <c r="B27" s="33"/>
      <c r="C27" s="33"/>
      <c r="D27" t="s">
        <v>131</v>
      </c>
      <c r="E27" t="s">
        <v>131</v>
      </c>
      <c r="F27" t="s">
        <v>131</v>
      </c>
      <c r="G27" t="s">
        <v>131</v>
      </c>
      <c r="H27" t="s">
        <v>131</v>
      </c>
      <c r="I27" t="s">
        <v>131</v>
      </c>
      <c r="J27" t="s">
        <v>131</v>
      </c>
      <c r="K27" t="s">
        <v>131</v>
      </c>
      <c r="L27" t="s">
        <v>131</v>
      </c>
      <c r="M27" t="s">
        <v>131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131</v>
      </c>
      <c r="T27" t="s">
        <v>131</v>
      </c>
      <c r="U27" t="s">
        <v>131</v>
      </c>
      <c r="V27" t="s">
        <v>131</v>
      </c>
      <c r="W27" t="s">
        <v>131</v>
      </c>
      <c r="X27" t="s">
        <v>131</v>
      </c>
      <c r="Y27" t="s">
        <v>131</v>
      </c>
      <c r="Z27" t="s">
        <v>131</v>
      </c>
      <c r="AA27" t="s">
        <v>131</v>
      </c>
      <c r="AB27" t="s">
        <v>131</v>
      </c>
      <c r="AC27" t="s">
        <v>131</v>
      </c>
      <c r="AD27" t="s">
        <v>131</v>
      </c>
      <c r="AE27" s="9"/>
      <c r="AF27" s="9"/>
      <c r="AG27" s="9"/>
    </row>
    <row r="28" spans="1:34">
      <c r="A28" s="7"/>
      <c r="B28" s="33"/>
      <c r="C28" s="33"/>
      <c r="AE28" s="9"/>
      <c r="AF28" s="9"/>
      <c r="AG28" s="9"/>
    </row>
    <row r="29" spans="1:34">
      <c r="A29" s="7"/>
      <c r="B29" s="33"/>
      <c r="C29" s="33"/>
      <c r="D29" s="33"/>
      <c r="E29" s="33"/>
      <c r="F29" s="33"/>
      <c r="G29" s="3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1E9EE559-0448-4EEA-B6CC-F1B9924AB066}">
      <formula1>"incomplete, COMPLETED"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0D3E-0878-4E80-8FD6-EC18D9C28835}">
  <dimension ref="A1:AZ28"/>
  <sheetViews>
    <sheetView topLeftCell="A3" workbookViewId="0">
      <selection activeCell="Z16" sqref="Z1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622</v>
      </c>
      <c r="C4" s="53"/>
      <c r="D4" s="5"/>
      <c r="E4" s="4" t="s">
        <v>4</v>
      </c>
      <c r="F4" s="54" t="s">
        <v>115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1.65</v>
      </c>
      <c r="C5" s="53"/>
      <c r="D5" s="5"/>
      <c r="E5" s="4" t="s">
        <v>8</v>
      </c>
      <c r="F5" s="56" t="s">
        <v>623</v>
      </c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45198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51.95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51.95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8428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0.25</v>
      </c>
      <c r="C15" s="14" t="s">
        <v>97</v>
      </c>
      <c r="D15" s="14">
        <v>62</v>
      </c>
      <c r="E15" s="14">
        <v>279</v>
      </c>
      <c r="F15" s="14"/>
      <c r="G15" s="28">
        <v>5.0999999999999996</v>
      </c>
      <c r="H15" s="28">
        <v>11.8</v>
      </c>
      <c r="I15" s="18">
        <v>33.299999999999997</v>
      </c>
      <c r="J15" s="18">
        <v>207</v>
      </c>
      <c r="K15" s="18">
        <v>4.2</v>
      </c>
      <c r="L15" s="18"/>
      <c r="M15" s="29">
        <f>L15/(64.5*H15)</f>
        <v>0</v>
      </c>
      <c r="N15" s="30">
        <v>0.9</v>
      </c>
      <c r="O15" s="30">
        <v>7.4930000000000003</v>
      </c>
      <c r="P15" s="30">
        <v>39.5</v>
      </c>
      <c r="Q15" s="30">
        <v>75.900000000000006</v>
      </c>
      <c r="R15" s="18">
        <v>35</v>
      </c>
      <c r="S15" s="31">
        <v>48</v>
      </c>
      <c r="T15" s="18">
        <v>149</v>
      </c>
      <c r="U15" s="18">
        <v>0.6</v>
      </c>
      <c r="V15" s="18">
        <v>14.38</v>
      </c>
      <c r="W15" s="18">
        <v>323</v>
      </c>
      <c r="X15" s="18" t="s">
        <v>624</v>
      </c>
      <c r="Y15" s="18">
        <v>291.72000000000003</v>
      </c>
      <c r="Z15" s="18">
        <v>6</v>
      </c>
      <c r="AA15" s="18">
        <v>6.6</v>
      </c>
      <c r="AB15" s="18">
        <v>1.2</v>
      </c>
      <c r="AC15" s="18">
        <v>50.8</v>
      </c>
      <c r="AD15" s="18">
        <v>63.8</v>
      </c>
      <c r="AE15" s="18">
        <v>13.6</v>
      </c>
      <c r="AF15" s="32">
        <v>14.8</v>
      </c>
      <c r="AG15" s="32">
        <v>28.9</v>
      </c>
      <c r="AH15" s="32">
        <v>1.55</v>
      </c>
    </row>
    <row r="16" spans="1:52" ht="15.95">
      <c r="A16" s="16" t="s">
        <v>98</v>
      </c>
      <c r="B16" s="27">
        <v>0.40277777777777779</v>
      </c>
      <c r="C16" s="14" t="s">
        <v>97</v>
      </c>
      <c r="D16" s="14">
        <v>50</v>
      </c>
      <c r="E16" s="14">
        <v>170</v>
      </c>
      <c r="F16" s="14"/>
      <c r="G16" s="18">
        <v>3.32</v>
      </c>
      <c r="H16" s="18">
        <v>7.3</v>
      </c>
      <c r="I16" s="18">
        <v>21.6</v>
      </c>
      <c r="J16" s="18">
        <v>160</v>
      </c>
      <c r="K16" s="18">
        <v>5.2</v>
      </c>
      <c r="L16" s="18"/>
      <c r="M16" s="29">
        <f t="shared" ref="M16:M25" si="0">L16/(64.5*H16)</f>
        <v>0</v>
      </c>
      <c r="N16" s="30">
        <v>5.9</v>
      </c>
      <c r="O16" s="30">
        <v>7.42</v>
      </c>
      <c r="P16" s="30">
        <v>44.3</v>
      </c>
      <c r="Q16" s="30">
        <v>69.900000000000006</v>
      </c>
      <c r="R16" s="18">
        <v>59</v>
      </c>
      <c r="S16" s="18">
        <v>47</v>
      </c>
      <c r="T16" s="18">
        <v>191</v>
      </c>
      <c r="U16" s="18">
        <v>0.6</v>
      </c>
      <c r="V16" s="18">
        <v>15.71</v>
      </c>
      <c r="W16" s="18">
        <v>359</v>
      </c>
      <c r="X16" s="18">
        <v>205.95</v>
      </c>
      <c r="Y16" s="18">
        <v>305.5</v>
      </c>
      <c r="Z16" s="18">
        <v>2</v>
      </c>
      <c r="AA16" s="18">
        <v>6.8</v>
      </c>
      <c r="AB16" s="18">
        <v>1.2</v>
      </c>
      <c r="AC16" s="18">
        <v>69.8</v>
      </c>
      <c r="AD16" s="18">
        <v>62.4</v>
      </c>
      <c r="AE16" s="18">
        <v>140.30000000000001</v>
      </c>
      <c r="AF16" s="32">
        <v>12.5</v>
      </c>
      <c r="AG16" s="32">
        <v>32.6</v>
      </c>
      <c r="AH16" s="32">
        <v>2.74</v>
      </c>
    </row>
    <row r="17" spans="1:34" ht="15.95">
      <c r="A17" s="16" t="s">
        <v>99</v>
      </c>
      <c r="B17" s="27">
        <v>0.40972222222222221</v>
      </c>
      <c r="C17" s="14" t="s">
        <v>97</v>
      </c>
      <c r="D17" s="14">
        <v>59</v>
      </c>
      <c r="E17" s="14">
        <v>269</v>
      </c>
      <c r="F17" s="14"/>
      <c r="G17" s="18">
        <v>4</v>
      </c>
      <c r="H17" s="18">
        <v>8.8000000000000007</v>
      </c>
      <c r="I17" s="18">
        <v>26.2</v>
      </c>
      <c r="J17" s="18">
        <v>159</v>
      </c>
      <c r="K17" s="18">
        <v>6.3</v>
      </c>
      <c r="L17" s="18"/>
      <c r="M17" s="29">
        <f t="shared" si="0"/>
        <v>0</v>
      </c>
      <c r="N17" s="30">
        <v>5.9</v>
      </c>
      <c r="O17" s="30">
        <v>7.3840000000000003</v>
      </c>
      <c r="P17" s="30">
        <v>41.8</v>
      </c>
      <c r="Q17" s="30">
        <v>100</v>
      </c>
      <c r="R17" s="18">
        <v>35</v>
      </c>
      <c r="S17" s="18">
        <v>48</v>
      </c>
      <c r="T17" s="18">
        <v>149</v>
      </c>
      <c r="U17" s="18">
        <v>0.6</v>
      </c>
      <c r="V17" s="18">
        <v>14.38</v>
      </c>
      <c r="W17" s="18">
        <v>323</v>
      </c>
      <c r="X17" s="18">
        <v>176.95</v>
      </c>
      <c r="Y17" s="18">
        <v>291.72000000000003</v>
      </c>
      <c r="Z17" s="18">
        <v>6</v>
      </c>
      <c r="AA17" s="18">
        <v>7.2</v>
      </c>
      <c r="AB17" s="18">
        <v>1.2</v>
      </c>
      <c r="AC17" s="18">
        <v>72</v>
      </c>
      <c r="AD17" s="18">
        <v>66</v>
      </c>
      <c r="AE17" s="18">
        <v>139.30000000000001</v>
      </c>
      <c r="AF17" s="32">
        <v>15.8</v>
      </c>
      <c r="AG17" s="32"/>
      <c r="AH17" s="32">
        <v>4.5599999999999996</v>
      </c>
    </row>
    <row r="18" spans="1:34" ht="15.95">
      <c r="A18" s="34" t="s">
        <v>126</v>
      </c>
      <c r="B18" s="27">
        <v>0.4513888888888889</v>
      </c>
      <c r="C18" s="14" t="s">
        <v>97</v>
      </c>
      <c r="D18" s="14">
        <v>70</v>
      </c>
      <c r="E18" s="14">
        <v>241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20</v>
      </c>
      <c r="O18" s="30">
        <v>7.319</v>
      </c>
      <c r="P18" s="30">
        <v>32.299999999999997</v>
      </c>
      <c r="Q18" s="30">
        <v>91.5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127</v>
      </c>
      <c r="B19" s="27">
        <v>0.49305555555555558</v>
      </c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0.53472222222222221</v>
      </c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0.54166666666666663</v>
      </c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128</v>
      </c>
      <c r="B22" s="27">
        <v>0.58333333333333337</v>
      </c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82DD394-B0F4-4DC4-B990-2FD6A6435EC4}">
      <formula1>"incomplete, COMPLETED"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81B4-EC00-4ADC-A1F0-8E9926F3571F}">
  <dimension ref="A1:AZ28"/>
  <sheetViews>
    <sheetView topLeftCell="A2" workbookViewId="0">
      <selection activeCell="B15" sqref="B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625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1.75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45198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55.125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55.125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8532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0.28333333333333333</v>
      </c>
      <c r="C15" s="14" t="s">
        <v>97</v>
      </c>
      <c r="D15" s="66">
        <v>73</v>
      </c>
      <c r="E15" s="14">
        <v>294</v>
      </c>
      <c r="F15" s="14"/>
      <c r="G15" s="66">
        <v>5.29</v>
      </c>
      <c r="H15" s="66">
        <v>11.5</v>
      </c>
      <c r="I15" s="66">
        <v>34.5</v>
      </c>
      <c r="J15" s="66">
        <v>262</v>
      </c>
      <c r="K15" s="18">
        <v>3.6</v>
      </c>
      <c r="L15" s="18"/>
      <c r="M15" s="29">
        <f>L15/(64.5*H15)</f>
        <v>0</v>
      </c>
      <c r="N15" s="66">
        <v>1.1000000000000001</v>
      </c>
      <c r="O15" s="30">
        <v>7.4720000000000004</v>
      </c>
      <c r="P15" s="30">
        <v>36.4</v>
      </c>
      <c r="Q15" s="30">
        <v>77.7</v>
      </c>
      <c r="R15" s="66">
        <v>21</v>
      </c>
      <c r="S15" s="66">
        <v>44</v>
      </c>
      <c r="T15" s="66">
        <v>234</v>
      </c>
      <c r="U15" s="66">
        <v>0.6</v>
      </c>
      <c r="V15" s="66">
        <v>12.73</v>
      </c>
      <c r="W15" s="66">
        <v>175</v>
      </c>
      <c r="X15" s="66">
        <v>130.13</v>
      </c>
      <c r="Y15" s="66">
        <v>204.05</v>
      </c>
      <c r="Z15" s="66">
        <v>8</v>
      </c>
      <c r="AA15" s="66">
        <v>9.6999999999999993</v>
      </c>
      <c r="AB15" s="66">
        <v>2</v>
      </c>
      <c r="AC15" s="66">
        <v>37.9</v>
      </c>
      <c r="AD15" s="66">
        <v>60.5</v>
      </c>
      <c r="AE15" s="66">
        <v>53.8</v>
      </c>
      <c r="AF15" s="66">
        <v>24.9</v>
      </c>
      <c r="AG15" s="66">
        <v>31.9</v>
      </c>
      <c r="AH15" s="66">
        <v>1.53</v>
      </c>
    </row>
    <row r="16" spans="1:52">
      <c r="A16" s="16" t="s">
        <v>98</v>
      </c>
      <c r="B16" s="27">
        <v>0.40625</v>
      </c>
      <c r="C16" s="14" t="s">
        <v>97</v>
      </c>
      <c r="D16" s="66">
        <v>40</v>
      </c>
      <c r="E16" s="14">
        <v>173</v>
      </c>
      <c r="F16" s="14"/>
      <c r="G16" s="66">
        <v>3.59</v>
      </c>
      <c r="H16" s="66">
        <v>7.8</v>
      </c>
      <c r="I16" s="66">
        <v>22.9</v>
      </c>
      <c r="J16" s="66">
        <v>206</v>
      </c>
      <c r="K16" s="18">
        <v>4.5</v>
      </c>
      <c r="L16" s="18"/>
      <c r="M16" s="29">
        <f t="shared" ref="M16:M25" si="0">L16/(64.5*H16)</f>
        <v>0</v>
      </c>
      <c r="N16" s="66">
        <v>10.9</v>
      </c>
      <c r="O16" s="30">
        <v>7.4039999999999999</v>
      </c>
      <c r="P16" s="30">
        <v>34.4</v>
      </c>
      <c r="Q16" s="30">
        <v>96.8</v>
      </c>
      <c r="R16" s="66">
        <v>111</v>
      </c>
      <c r="S16" s="66">
        <v>69</v>
      </c>
      <c r="T16" s="66">
        <v>281</v>
      </c>
      <c r="U16" s="66">
        <v>1</v>
      </c>
      <c r="V16" s="66">
        <v>15.62</v>
      </c>
      <c r="W16" s="66">
        <v>179</v>
      </c>
      <c r="X16" s="66">
        <v>140.85</v>
      </c>
      <c r="Y16" s="66">
        <v>351.33</v>
      </c>
      <c r="Z16" s="66">
        <v>2</v>
      </c>
      <c r="AA16" s="66">
        <v>9.5</v>
      </c>
      <c r="AB16" s="66">
        <v>1.2</v>
      </c>
      <c r="AC16" s="66">
        <v>73</v>
      </c>
      <c r="AD16" s="66">
        <v>67.900000000000006</v>
      </c>
      <c r="AE16" s="66">
        <v>129.4</v>
      </c>
      <c r="AF16" s="66">
        <v>19.2</v>
      </c>
      <c r="AG16" s="66">
        <v>19.7</v>
      </c>
      <c r="AH16" s="66">
        <v>2.41</v>
      </c>
    </row>
    <row r="17" spans="1:34">
      <c r="A17" s="16" t="s">
        <v>99</v>
      </c>
      <c r="B17" s="27">
        <v>0.41319444444444442</v>
      </c>
      <c r="C17" s="14" t="s">
        <v>97</v>
      </c>
      <c r="D17" s="66">
        <v>59</v>
      </c>
      <c r="E17" s="14">
        <v>249</v>
      </c>
      <c r="F17" s="14"/>
      <c r="G17" s="66">
        <v>4.34</v>
      </c>
      <c r="H17" s="66">
        <v>9.4</v>
      </c>
      <c r="I17" s="66">
        <v>28.1</v>
      </c>
      <c r="J17" s="66">
        <v>179</v>
      </c>
      <c r="K17" s="18">
        <v>5.0999999999999996</v>
      </c>
      <c r="L17" s="18"/>
      <c r="M17" s="29">
        <f t="shared" si="0"/>
        <v>0</v>
      </c>
      <c r="N17" s="66">
        <v>9.9</v>
      </c>
      <c r="O17" s="30">
        <v>7.3630000000000004</v>
      </c>
      <c r="P17" s="30">
        <v>36.799999999999997</v>
      </c>
      <c r="Q17" s="30">
        <v>105</v>
      </c>
      <c r="R17" s="66">
        <v>67</v>
      </c>
      <c r="S17" s="66">
        <v>66</v>
      </c>
      <c r="T17" s="66">
        <v>258</v>
      </c>
      <c r="U17" s="66">
        <v>1</v>
      </c>
      <c r="V17" s="66">
        <v>13.35</v>
      </c>
      <c r="W17" s="66">
        <v>157</v>
      </c>
      <c r="X17" s="66">
        <v>135.32</v>
      </c>
      <c r="Y17" s="66">
        <v>296.67</v>
      </c>
      <c r="Z17" s="66">
        <v>4</v>
      </c>
      <c r="AA17" s="66">
        <v>11.2</v>
      </c>
      <c r="AB17" s="66">
        <v>1.6</v>
      </c>
      <c r="AC17" s="66">
        <v>67.900000000000006</v>
      </c>
      <c r="AD17" s="66">
        <v>69</v>
      </c>
      <c r="AE17" s="66">
        <v>131.80000000000001</v>
      </c>
      <c r="AF17" s="66">
        <v>24.4</v>
      </c>
      <c r="AG17" s="66">
        <v>45.5</v>
      </c>
      <c r="AH17" s="66">
        <v>2.99</v>
      </c>
    </row>
    <row r="18" spans="1:34">
      <c r="A18" s="34" t="s">
        <v>126</v>
      </c>
      <c r="B18" s="27">
        <v>0.4548611111111111</v>
      </c>
      <c r="C18" s="14" t="s">
        <v>97</v>
      </c>
      <c r="D18" s="66">
        <v>51</v>
      </c>
      <c r="E18" s="14">
        <v>270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66">
        <v>3.9</v>
      </c>
      <c r="O18" s="30">
        <v>7.4390000000000001</v>
      </c>
      <c r="P18" s="30">
        <v>37.9</v>
      </c>
      <c r="Q18" s="30">
        <v>95.7</v>
      </c>
      <c r="R18" s="66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66"/>
      <c r="AF18" s="32"/>
      <c r="AG18" s="32"/>
      <c r="AH18" s="32"/>
    </row>
    <row r="19" spans="1:34">
      <c r="A19" s="16" t="s">
        <v>127</v>
      </c>
      <c r="B19" s="27">
        <v>0.49652777777777779</v>
      </c>
      <c r="C19" s="14" t="s">
        <v>97</v>
      </c>
      <c r="D19" s="66">
        <v>71</v>
      </c>
      <c r="E19" s="14">
        <v>293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66">
        <v>2.9</v>
      </c>
      <c r="O19" s="30">
        <v>7.4710000000000001</v>
      </c>
      <c r="P19" s="30">
        <v>32.5</v>
      </c>
      <c r="Q19" s="30">
        <v>92.8</v>
      </c>
      <c r="R19" s="66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66"/>
      <c r="AF19" s="32"/>
      <c r="AG19" s="32"/>
      <c r="AH19" s="32"/>
    </row>
    <row r="20" spans="1:34">
      <c r="A20" s="16" t="s">
        <v>100</v>
      </c>
      <c r="B20" s="27">
        <v>0.53819444444444442</v>
      </c>
      <c r="C20" s="14" t="s">
        <v>97</v>
      </c>
      <c r="D20" s="66">
        <v>68</v>
      </c>
      <c r="E20" s="14">
        <v>234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66">
        <v>2.6</v>
      </c>
      <c r="O20" s="30">
        <v>7.524</v>
      </c>
      <c r="P20" s="30">
        <v>33.200000000000003</v>
      </c>
      <c r="Q20" s="30">
        <v>90.1</v>
      </c>
      <c r="R20" s="66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66"/>
      <c r="AF20" s="32"/>
      <c r="AG20" s="32"/>
      <c r="AH20" s="32"/>
    </row>
    <row r="21" spans="1:34">
      <c r="A21" s="16" t="s">
        <v>104</v>
      </c>
      <c r="B21" s="27">
        <v>0.54513888888888884</v>
      </c>
      <c r="C21" s="14" t="s">
        <v>97</v>
      </c>
      <c r="D21" s="66">
        <v>69</v>
      </c>
      <c r="E21" s="14">
        <v>192</v>
      </c>
      <c r="F21" s="14"/>
      <c r="G21" s="66">
        <v>4.54</v>
      </c>
      <c r="H21" s="66">
        <v>9.8000000000000007</v>
      </c>
      <c r="I21" s="66">
        <v>34.5</v>
      </c>
      <c r="J21" s="66">
        <v>223</v>
      </c>
      <c r="K21" s="18">
        <v>5.3</v>
      </c>
      <c r="L21" s="18"/>
      <c r="M21" s="29">
        <f t="shared" si="0"/>
        <v>0</v>
      </c>
      <c r="N21" s="66">
        <v>3.2</v>
      </c>
      <c r="O21" s="30">
        <v>7.4710000000000001</v>
      </c>
      <c r="P21" s="30">
        <v>36.299999999999997</v>
      </c>
      <c r="Q21" s="30">
        <v>90.5</v>
      </c>
      <c r="R21" s="66">
        <v>86</v>
      </c>
      <c r="S21" s="66">
        <v>91</v>
      </c>
      <c r="T21" s="66">
        <v>306</v>
      </c>
      <c r="U21" s="66">
        <v>0.8</v>
      </c>
      <c r="V21" s="66">
        <v>16.43</v>
      </c>
      <c r="W21" s="66">
        <v>199</v>
      </c>
      <c r="X21" s="66">
        <v>181.86</v>
      </c>
      <c r="Y21" s="66">
        <v>166.64</v>
      </c>
      <c r="Z21" s="66">
        <v>6</v>
      </c>
      <c r="AA21" s="66">
        <v>9.6999999999999993</v>
      </c>
      <c r="AB21" s="18"/>
      <c r="AC21" s="18"/>
      <c r="AD21" s="18"/>
      <c r="AE21" s="66">
        <v>140.30000000000001</v>
      </c>
      <c r="AF21" s="66">
        <v>17.8</v>
      </c>
      <c r="AG21" s="66">
        <v>21.1</v>
      </c>
      <c r="AH21" s="66">
        <v>3.51</v>
      </c>
    </row>
    <row r="22" spans="1:34">
      <c r="A22" s="16" t="s">
        <v>128</v>
      </c>
      <c r="B22" s="27">
        <v>0.58680555555555558</v>
      </c>
      <c r="C22" s="14" t="s">
        <v>97</v>
      </c>
      <c r="D22" s="66">
        <v>68</v>
      </c>
      <c r="E22" s="14">
        <v>249</v>
      </c>
      <c r="F22" s="14"/>
      <c r="G22" s="66">
        <v>4.5199999999999996</v>
      </c>
      <c r="H22" s="66">
        <v>9.6999999999999993</v>
      </c>
      <c r="I22" s="66">
        <v>22.9</v>
      </c>
      <c r="J22" s="66">
        <v>190</v>
      </c>
      <c r="K22" s="18">
        <v>4.8</v>
      </c>
      <c r="L22" s="18"/>
      <c r="M22" s="29">
        <f t="shared" si="0"/>
        <v>0</v>
      </c>
      <c r="N22" s="66">
        <v>1.9</v>
      </c>
      <c r="O22" s="30">
        <v>7.516</v>
      </c>
      <c r="P22" s="30">
        <v>36.1</v>
      </c>
      <c r="Q22" s="30">
        <v>83.6</v>
      </c>
      <c r="R22" s="66">
        <v>79</v>
      </c>
      <c r="S22" s="66">
        <v>96</v>
      </c>
      <c r="T22" s="66">
        <v>283</v>
      </c>
      <c r="U22" s="66">
        <v>0.6</v>
      </c>
      <c r="V22" s="66">
        <v>15.54</v>
      </c>
      <c r="W22" s="66">
        <v>200</v>
      </c>
      <c r="X22" s="66">
        <v>135.80000000000001</v>
      </c>
      <c r="Y22" s="66">
        <v>131.41999999999999</v>
      </c>
      <c r="Z22" s="66">
        <v>6</v>
      </c>
      <c r="AA22" s="66"/>
      <c r="AB22" s="66">
        <v>2.7</v>
      </c>
      <c r="AC22" s="66">
        <v>56</v>
      </c>
      <c r="AD22" s="66">
        <v>65.400000000000006</v>
      </c>
      <c r="AE22" s="66">
        <v>115.4</v>
      </c>
      <c r="AF22" s="66">
        <v>18.399999999999999</v>
      </c>
      <c r="AG22" s="66">
        <v>22.4</v>
      </c>
      <c r="AH22" s="66">
        <v>5.12</v>
      </c>
    </row>
    <row r="23" spans="1:34">
      <c r="A23" s="16" t="s">
        <v>105</v>
      </c>
      <c r="B23" s="27">
        <v>0.41319444444444442</v>
      </c>
      <c r="C23" s="14" t="s">
        <v>97</v>
      </c>
      <c r="D23" s="66">
        <v>62</v>
      </c>
      <c r="E23" s="14">
        <v>293</v>
      </c>
      <c r="F23" s="14"/>
      <c r="G23" s="66">
        <v>4.3099999999999996</v>
      </c>
      <c r="H23" s="66">
        <v>9.3000000000000007</v>
      </c>
      <c r="I23" s="66">
        <v>28.1</v>
      </c>
      <c r="J23" s="66">
        <v>275</v>
      </c>
      <c r="K23" s="18">
        <v>6.4</v>
      </c>
      <c r="L23" s="18"/>
      <c r="M23" s="29">
        <f t="shared" si="0"/>
        <v>0</v>
      </c>
      <c r="N23" s="66">
        <v>1</v>
      </c>
      <c r="O23" s="30">
        <v>7.4989999999999997</v>
      </c>
      <c r="P23" s="30">
        <v>37.700000000000003</v>
      </c>
      <c r="Q23" s="30">
        <v>81.5</v>
      </c>
      <c r="R23" s="66">
        <v>20</v>
      </c>
      <c r="S23" s="66">
        <v>93</v>
      </c>
      <c r="T23" s="66">
        <v>59</v>
      </c>
      <c r="U23" s="66">
        <v>0.5</v>
      </c>
      <c r="V23" s="66">
        <v>10.06</v>
      </c>
      <c r="W23" s="66">
        <v>213</v>
      </c>
      <c r="X23" s="66">
        <v>315</v>
      </c>
      <c r="Y23" s="66">
        <v>149.99</v>
      </c>
      <c r="Z23" s="66">
        <v>7</v>
      </c>
      <c r="AA23" s="66">
        <v>16</v>
      </c>
      <c r="AB23" s="66">
        <v>1.9</v>
      </c>
      <c r="AC23" s="66">
        <v>67.2</v>
      </c>
      <c r="AD23" s="66">
        <v>77.099999999999994</v>
      </c>
      <c r="AE23" s="66">
        <v>138.6</v>
      </c>
      <c r="AF23" s="66">
        <v>12.6</v>
      </c>
      <c r="AG23" s="66">
        <v>22.4</v>
      </c>
      <c r="AH23" s="66">
        <v>4.74</v>
      </c>
    </row>
    <row r="24" spans="1:34">
      <c r="A24" s="16" t="s">
        <v>106</v>
      </c>
      <c r="B24" s="27"/>
      <c r="C24" s="14" t="s">
        <v>97</v>
      </c>
      <c r="D24" s="14"/>
      <c r="E24" s="14"/>
      <c r="F24" s="14"/>
      <c r="G24" s="18"/>
      <c r="H24" s="66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B08A0B9-0C56-469A-AD27-274AC1C8C4CB}">
      <formula1>"incomplete, COMPLETED"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66F6-18FC-4E7C-9184-070CD8836A62}">
  <dimension ref="A1:AZ27"/>
  <sheetViews>
    <sheetView workbookViewId="0">
      <selection activeCell="F26" sqref="F2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626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1.83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45217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57.62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57.62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8428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0.27777777777777779</v>
      </c>
      <c r="C15" s="14" t="s">
        <v>97</v>
      </c>
      <c r="D15" t="s">
        <v>627</v>
      </c>
      <c r="E15">
        <v>243</v>
      </c>
      <c r="F15" t="s">
        <v>131</v>
      </c>
      <c r="G15" t="s">
        <v>628</v>
      </c>
      <c r="H15" t="s">
        <v>629</v>
      </c>
      <c r="I15" t="s">
        <v>549</v>
      </c>
      <c r="J15" t="s">
        <v>630</v>
      </c>
      <c r="K15">
        <v>3.1</v>
      </c>
      <c r="L15" t="s">
        <v>131</v>
      </c>
      <c r="M15" t="s">
        <v>131</v>
      </c>
      <c r="N15" t="s">
        <v>559</v>
      </c>
      <c r="O15">
        <v>7.4829999999999997</v>
      </c>
      <c r="P15">
        <v>37.5</v>
      </c>
      <c r="Q15">
        <v>84.3</v>
      </c>
      <c r="R15" t="s">
        <v>631</v>
      </c>
      <c r="S15" t="s">
        <v>339</v>
      </c>
      <c r="T15" t="s">
        <v>632</v>
      </c>
      <c r="U15" t="s">
        <v>190</v>
      </c>
      <c r="V15" t="s">
        <v>633</v>
      </c>
      <c r="W15" t="s">
        <v>634</v>
      </c>
      <c r="X15" t="s">
        <v>635</v>
      </c>
      <c r="Y15" t="s">
        <v>636</v>
      </c>
      <c r="Z15" t="s">
        <v>281</v>
      </c>
      <c r="AA15">
        <v>4.0999999999999996</v>
      </c>
      <c r="AB15" t="s">
        <v>144</v>
      </c>
      <c r="AC15" t="s">
        <v>637</v>
      </c>
      <c r="AD15" t="s">
        <v>638</v>
      </c>
      <c r="AE15" s="18">
        <v>140.9</v>
      </c>
      <c r="AF15" s="32">
        <v>17</v>
      </c>
      <c r="AG15" s="32">
        <v>19.8</v>
      </c>
      <c r="AH15" s="32">
        <v>1.22</v>
      </c>
    </row>
    <row r="16" spans="1:52">
      <c r="A16" s="16" t="s">
        <v>98</v>
      </c>
      <c r="B16" s="27">
        <v>0.4</v>
      </c>
      <c r="C16" s="14" t="s">
        <v>97</v>
      </c>
      <c r="D16" t="s">
        <v>639</v>
      </c>
      <c r="E16">
        <v>290</v>
      </c>
      <c r="F16" t="s">
        <v>131</v>
      </c>
      <c r="G16" t="s">
        <v>331</v>
      </c>
      <c r="H16" t="s">
        <v>317</v>
      </c>
      <c r="I16" t="s">
        <v>318</v>
      </c>
      <c r="J16" t="s">
        <v>640</v>
      </c>
      <c r="K16">
        <v>7.1</v>
      </c>
      <c r="L16" t="s">
        <v>131</v>
      </c>
      <c r="M16" t="s">
        <v>131</v>
      </c>
      <c r="N16" t="s">
        <v>471</v>
      </c>
      <c r="O16">
        <v>7.2910000000000004</v>
      </c>
      <c r="P16">
        <v>36.299999999999997</v>
      </c>
      <c r="Q16">
        <v>71</v>
      </c>
      <c r="R16" t="s">
        <v>641</v>
      </c>
      <c r="S16" t="s">
        <v>639</v>
      </c>
      <c r="T16" t="s">
        <v>304</v>
      </c>
      <c r="U16" t="s">
        <v>186</v>
      </c>
      <c r="V16" t="s">
        <v>642</v>
      </c>
      <c r="W16" t="s">
        <v>643</v>
      </c>
      <c r="X16" t="s">
        <v>644</v>
      </c>
      <c r="Y16" t="s">
        <v>645</v>
      </c>
      <c r="Z16" t="s">
        <v>646</v>
      </c>
      <c r="AA16">
        <v>7</v>
      </c>
      <c r="AB16" t="s">
        <v>646</v>
      </c>
      <c r="AC16" t="s">
        <v>647</v>
      </c>
      <c r="AD16" t="s">
        <v>648</v>
      </c>
      <c r="AE16" s="18">
        <v>141.9</v>
      </c>
      <c r="AF16" s="32">
        <v>13.4</v>
      </c>
      <c r="AG16" s="32">
        <v>81.5</v>
      </c>
      <c r="AH16" s="32">
        <v>4.22</v>
      </c>
    </row>
    <row r="17" spans="1:34">
      <c r="A17" s="16" t="s">
        <v>99</v>
      </c>
      <c r="B17" s="27">
        <v>0.40694444444444444</v>
      </c>
      <c r="C17" s="14" t="s">
        <v>97</v>
      </c>
      <c r="D17" t="s">
        <v>415</v>
      </c>
      <c r="E17">
        <v>233</v>
      </c>
      <c r="F17" t="s">
        <v>131</v>
      </c>
      <c r="G17" t="s">
        <v>649</v>
      </c>
      <c r="H17" t="s">
        <v>442</v>
      </c>
      <c r="I17" t="s">
        <v>650</v>
      </c>
      <c r="J17" t="s">
        <v>651</v>
      </c>
      <c r="K17">
        <v>6.6</v>
      </c>
      <c r="L17" t="s">
        <v>131</v>
      </c>
      <c r="M17" t="s">
        <v>131</v>
      </c>
      <c r="N17" t="s">
        <v>569</v>
      </c>
      <c r="O17">
        <v>7.28</v>
      </c>
      <c r="P17">
        <v>35.9</v>
      </c>
      <c r="Q17">
        <v>111</v>
      </c>
      <c r="R17" t="s">
        <v>652</v>
      </c>
      <c r="S17" t="s">
        <v>653</v>
      </c>
      <c r="T17" t="s">
        <v>654</v>
      </c>
      <c r="U17" t="s">
        <v>559</v>
      </c>
      <c r="V17" t="s">
        <v>655</v>
      </c>
      <c r="W17" t="s">
        <v>656</v>
      </c>
      <c r="X17" t="s">
        <v>657</v>
      </c>
      <c r="Y17" t="s">
        <v>658</v>
      </c>
      <c r="Z17" t="s">
        <v>381</v>
      </c>
      <c r="AA17">
        <v>8.1999999999999993</v>
      </c>
      <c r="AB17" t="s">
        <v>659</v>
      </c>
      <c r="AC17" t="s">
        <v>660</v>
      </c>
      <c r="AD17" t="s">
        <v>661</v>
      </c>
      <c r="AE17" s="18">
        <v>139.6</v>
      </c>
      <c r="AF17" s="32">
        <v>15.1</v>
      </c>
      <c r="AG17" s="32"/>
      <c r="AH17" s="32">
        <v>4.8099999999999996</v>
      </c>
    </row>
    <row r="18" spans="1:34">
      <c r="A18" s="34" t="s">
        <v>126</v>
      </c>
      <c r="B18" s="27">
        <v>0.44861111111111113</v>
      </c>
      <c r="C18" s="14" t="s">
        <v>97</v>
      </c>
      <c r="D18" t="s">
        <v>370</v>
      </c>
      <c r="E18">
        <v>254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302</v>
      </c>
      <c r="O18">
        <v>7.5</v>
      </c>
      <c r="P18">
        <v>38.200000000000003</v>
      </c>
      <c r="Q18">
        <v>99.8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127</v>
      </c>
      <c r="B19" s="27">
        <v>0.49027777777777776</v>
      </c>
      <c r="C19" s="14" t="s">
        <v>97</v>
      </c>
      <c r="D19" t="s">
        <v>243</v>
      </c>
      <c r="E19">
        <v>271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291</v>
      </c>
      <c r="O19">
        <v>7.5110000000000001</v>
      </c>
      <c r="P19">
        <v>29</v>
      </c>
      <c r="Q19">
        <v>111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100</v>
      </c>
      <c r="B20" s="27">
        <v>0.53194444444444444</v>
      </c>
      <c r="C20" s="14" t="s">
        <v>97</v>
      </c>
      <c r="D20" t="s">
        <v>218</v>
      </c>
      <c r="E20">
        <v>280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321</v>
      </c>
      <c r="O20">
        <v>7.5</v>
      </c>
      <c r="P20">
        <v>26</v>
      </c>
      <c r="Q20">
        <v>93.1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104</v>
      </c>
      <c r="B21" s="27">
        <v>0.53888888888888886</v>
      </c>
      <c r="C21" s="14" t="s">
        <v>97</v>
      </c>
      <c r="D21" t="s">
        <v>236</v>
      </c>
      <c r="E21">
        <v>288</v>
      </c>
      <c r="F21" t="s">
        <v>131</v>
      </c>
      <c r="G21" t="s">
        <v>136</v>
      </c>
      <c r="H21" t="s">
        <v>176</v>
      </c>
      <c r="I21" t="s">
        <v>662</v>
      </c>
      <c r="J21" t="s">
        <v>663</v>
      </c>
      <c r="K21">
        <v>5.4</v>
      </c>
      <c r="L21" t="s">
        <v>131</v>
      </c>
      <c r="M21" t="s">
        <v>131</v>
      </c>
      <c r="N21" t="s">
        <v>664</v>
      </c>
      <c r="O21">
        <v>7.48</v>
      </c>
      <c r="P21">
        <v>33.4</v>
      </c>
      <c r="Q21">
        <v>89.8</v>
      </c>
      <c r="R21" t="s">
        <v>407</v>
      </c>
      <c r="S21" t="s">
        <v>514</v>
      </c>
      <c r="T21" t="s">
        <v>665</v>
      </c>
      <c r="U21" t="s">
        <v>190</v>
      </c>
      <c r="V21" t="s">
        <v>666</v>
      </c>
      <c r="W21" t="s">
        <v>667</v>
      </c>
      <c r="X21" t="s">
        <v>668</v>
      </c>
      <c r="Y21" t="s">
        <v>669</v>
      </c>
      <c r="Z21" t="s">
        <v>389</v>
      </c>
      <c r="AA21" t="s">
        <v>131</v>
      </c>
      <c r="AB21" t="s">
        <v>131</v>
      </c>
      <c r="AC21" t="s">
        <v>131</v>
      </c>
      <c r="AD21" t="s">
        <v>131</v>
      </c>
      <c r="AE21" s="18">
        <v>131.4</v>
      </c>
      <c r="AF21" s="32">
        <v>16.8</v>
      </c>
      <c r="AG21" s="32"/>
      <c r="AH21" s="32">
        <v>6.38</v>
      </c>
    </row>
    <row r="22" spans="1:34">
      <c r="A22" s="16" t="s">
        <v>128</v>
      </c>
      <c r="B22" s="27">
        <v>0.5805555555555556</v>
      </c>
      <c r="C22" s="14" t="s">
        <v>97</v>
      </c>
      <c r="D22" t="s">
        <v>415</v>
      </c>
      <c r="E22">
        <v>246</v>
      </c>
      <c r="F22" t="s">
        <v>131</v>
      </c>
      <c r="G22">
        <v>4.3099999999999996</v>
      </c>
      <c r="H22">
        <v>7.2</v>
      </c>
      <c r="I22">
        <v>26.7</v>
      </c>
      <c r="J22">
        <v>151</v>
      </c>
      <c r="K22">
        <v>5.3</v>
      </c>
      <c r="L22" t="s">
        <v>131</v>
      </c>
      <c r="M22" t="s">
        <v>131</v>
      </c>
      <c r="N22">
        <v>2.7</v>
      </c>
      <c r="O22">
        <v>7.4409999999999998</v>
      </c>
      <c r="P22">
        <v>37</v>
      </c>
      <c r="Q22">
        <v>68.8</v>
      </c>
      <c r="R22">
        <v>87</v>
      </c>
      <c r="S22">
        <v>76</v>
      </c>
      <c r="T22">
        <v>281</v>
      </c>
      <c r="U22">
        <v>0.8</v>
      </c>
      <c r="V22">
        <v>18.100000000000001</v>
      </c>
      <c r="W22">
        <v>308</v>
      </c>
      <c r="X22">
        <v>236.61</v>
      </c>
      <c r="Y22">
        <v>139.47</v>
      </c>
      <c r="Z22">
        <v>5</v>
      </c>
      <c r="AA22">
        <v>8.5</v>
      </c>
      <c r="AB22">
        <v>2.5</v>
      </c>
      <c r="AC22">
        <v>57.7</v>
      </c>
      <c r="AD22" t="s">
        <v>670</v>
      </c>
      <c r="AE22" s="9">
        <v>92.4</v>
      </c>
      <c r="AF22" s="9">
        <v>17.399999999999999</v>
      </c>
      <c r="AG22" s="32">
        <v>13.8</v>
      </c>
      <c r="AH22" s="32">
        <v>3.24</v>
      </c>
    </row>
    <row r="23" spans="1:34">
      <c r="A23" s="16" t="s">
        <v>105</v>
      </c>
      <c r="B23" s="27">
        <v>0.44861111111111113</v>
      </c>
      <c r="C23" s="14" t="s">
        <v>97</v>
      </c>
      <c r="D23" t="s">
        <v>218</v>
      </c>
      <c r="E23">
        <v>245</v>
      </c>
      <c r="F23" t="s">
        <v>131</v>
      </c>
      <c r="G23" t="s">
        <v>671</v>
      </c>
      <c r="H23" t="s">
        <v>442</v>
      </c>
      <c r="I23" t="s">
        <v>672</v>
      </c>
      <c r="J23" t="s">
        <v>673</v>
      </c>
      <c r="K23">
        <v>8.1999999999999993</v>
      </c>
      <c r="L23" t="s">
        <v>131</v>
      </c>
      <c r="M23" t="s">
        <v>131</v>
      </c>
      <c r="N23" t="s">
        <v>490</v>
      </c>
      <c r="O23">
        <v>7.3819999999999997</v>
      </c>
      <c r="P23">
        <v>49.3</v>
      </c>
      <c r="Q23">
        <v>24.1</v>
      </c>
      <c r="R23" t="s">
        <v>674</v>
      </c>
      <c r="S23" t="s">
        <v>675</v>
      </c>
      <c r="T23" t="s">
        <v>676</v>
      </c>
      <c r="U23" t="s">
        <v>137</v>
      </c>
      <c r="V23" t="s">
        <v>677</v>
      </c>
      <c r="W23" t="s">
        <v>678</v>
      </c>
      <c r="X23" t="s">
        <v>679</v>
      </c>
      <c r="Y23" t="s">
        <v>680</v>
      </c>
      <c r="Z23" t="s">
        <v>646</v>
      </c>
      <c r="AA23">
        <v>6.3</v>
      </c>
      <c r="AB23" t="s">
        <v>214</v>
      </c>
      <c r="AC23" t="s">
        <v>661</v>
      </c>
      <c r="AD23" t="s">
        <v>681</v>
      </c>
      <c r="AE23" s="9">
        <v>89.3</v>
      </c>
      <c r="AF23" s="9">
        <v>14.1</v>
      </c>
      <c r="AG23" s="32">
        <v>26.9</v>
      </c>
      <c r="AH23" s="32">
        <v>5.91</v>
      </c>
    </row>
    <row r="24" spans="1:34">
      <c r="A24" s="16" t="s">
        <v>106</v>
      </c>
      <c r="B24" s="27"/>
      <c r="C24" s="14" t="s">
        <v>97</v>
      </c>
      <c r="D24" t="s">
        <v>131</v>
      </c>
      <c r="E24" t="s">
        <v>131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131</v>
      </c>
      <c r="W24" t="s">
        <v>131</v>
      </c>
      <c r="X24" t="s">
        <v>131</v>
      </c>
      <c r="Y24" t="s">
        <v>131</v>
      </c>
      <c r="Z24" t="s">
        <v>131</v>
      </c>
      <c r="AA24" t="s">
        <v>131</v>
      </c>
      <c r="AB24" t="s">
        <v>131</v>
      </c>
      <c r="AC24" t="s">
        <v>131</v>
      </c>
      <c r="AD24" t="s">
        <v>131</v>
      </c>
      <c r="AE24" s="9"/>
      <c r="AF24" s="9"/>
      <c r="AG24" s="32"/>
      <c r="AH24" s="32"/>
    </row>
    <row r="25" spans="1:34">
      <c r="A25" s="7"/>
      <c r="B25" s="33"/>
      <c r="C25" s="33"/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9"/>
    </row>
    <row r="26" spans="1:34">
      <c r="A26" s="7"/>
      <c r="B26" s="33"/>
      <c r="C26" s="33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C4DC67E9-820D-4799-8722-15DC922C909A}">
      <formula1>"incomplete, COMPLETED"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02F7-2F21-4E75-B5D3-B53A5BF55A53}">
  <dimension ref="A1:AZ27"/>
  <sheetViews>
    <sheetView workbookViewId="0">
      <selection activeCell="E28" sqref="E28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682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1.88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45217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58.95</v>
      </c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58.95</v>
      </c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8532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0.25</v>
      </c>
      <c r="C15" s="14" t="s">
        <v>97</v>
      </c>
      <c r="D15" s="14">
        <v>96</v>
      </c>
      <c r="E15" s="14">
        <v>235</v>
      </c>
      <c r="F15" s="14"/>
      <c r="G15" s="28">
        <v>7.05</v>
      </c>
      <c r="H15" s="28">
        <v>13.5</v>
      </c>
      <c r="I15" s="18">
        <v>42.4</v>
      </c>
      <c r="J15" s="18">
        <v>236</v>
      </c>
      <c r="K15" s="18">
        <v>4.2</v>
      </c>
      <c r="L15" s="18"/>
      <c r="M15" s="29">
        <f>L15/(64.5*H15)</f>
        <v>0</v>
      </c>
      <c r="N15" s="30">
        <v>1.2</v>
      </c>
      <c r="O15" s="30">
        <v>7.47</v>
      </c>
      <c r="P15" s="30">
        <v>38.4</v>
      </c>
      <c r="Q15" s="30">
        <v>77.5</v>
      </c>
      <c r="R15" s="18">
        <v>13</v>
      </c>
      <c r="S15" s="31">
        <v>60</v>
      </c>
      <c r="T15" s="18">
        <v>120</v>
      </c>
      <c r="U15" s="18">
        <v>0.7</v>
      </c>
      <c r="V15" s="18">
        <v>10.99</v>
      </c>
      <c r="W15" s="18">
        <v>207</v>
      </c>
      <c r="X15" s="18">
        <v>75.16</v>
      </c>
      <c r="Y15" s="18">
        <v>182.36</v>
      </c>
      <c r="Z15" s="18">
        <v>9</v>
      </c>
      <c r="AA15" s="18">
        <v>8.1</v>
      </c>
      <c r="AB15" s="18">
        <v>0.8</v>
      </c>
      <c r="AC15" s="18">
        <v>43.1</v>
      </c>
      <c r="AD15" s="18">
        <v>64.599999999999994</v>
      </c>
      <c r="AE15" s="18">
        <v>122.1</v>
      </c>
      <c r="AF15" s="32">
        <v>19.8</v>
      </c>
      <c r="AG15" s="32">
        <v>19.8</v>
      </c>
      <c r="AH15" s="32">
        <v>1.29</v>
      </c>
    </row>
    <row r="16" spans="1:52" ht="15.95">
      <c r="A16" s="16" t="s">
        <v>98</v>
      </c>
      <c r="B16" s="27">
        <v>0.39374999999999999</v>
      </c>
      <c r="C16" s="14" t="s">
        <v>97</v>
      </c>
      <c r="D16" s="14">
        <v>58</v>
      </c>
      <c r="E16" s="14">
        <v>288</v>
      </c>
      <c r="F16" s="14"/>
      <c r="G16" s="18">
        <v>4.38</v>
      </c>
      <c r="H16" s="18">
        <v>8.6</v>
      </c>
      <c r="I16" s="18">
        <v>25.9</v>
      </c>
      <c r="J16" s="18">
        <v>182</v>
      </c>
      <c r="K16" s="18">
        <v>4.0999999999999996</v>
      </c>
      <c r="L16" s="18"/>
      <c r="M16" s="29">
        <f t="shared" ref="M16:M24" si="0">L16/(64.5*H16)</f>
        <v>0</v>
      </c>
      <c r="N16" s="30">
        <v>10.8</v>
      </c>
      <c r="O16" s="30">
        <v>7.4550000000000001</v>
      </c>
      <c r="P16" s="30">
        <v>29.2</v>
      </c>
      <c r="Q16" s="30">
        <v>103</v>
      </c>
      <c r="R16" s="18">
        <v>93</v>
      </c>
      <c r="S16" s="18">
        <v>97</v>
      </c>
      <c r="T16" s="18">
        <v>108</v>
      </c>
      <c r="U16" s="18">
        <v>0.9</v>
      </c>
      <c r="V16" s="18">
        <v>19.899999999999999</v>
      </c>
      <c r="W16" s="18">
        <v>150</v>
      </c>
      <c r="X16" s="18">
        <v>110.35</v>
      </c>
      <c r="Y16" s="18">
        <v>352.66</v>
      </c>
      <c r="Z16" s="18">
        <v>6</v>
      </c>
      <c r="AA16" s="18">
        <v>15.8</v>
      </c>
      <c r="AB16" s="18">
        <v>2.7</v>
      </c>
      <c r="AC16" s="18">
        <v>56.6</v>
      </c>
      <c r="AD16" s="18">
        <v>66.599999999999994</v>
      </c>
      <c r="AE16" s="18">
        <v>112.3</v>
      </c>
      <c r="AF16" s="32">
        <v>17</v>
      </c>
      <c r="AG16" s="32">
        <v>18.5</v>
      </c>
      <c r="AH16" s="32">
        <v>2.79</v>
      </c>
    </row>
    <row r="17" spans="1:34" ht="15.95">
      <c r="A17" s="16" t="s">
        <v>99</v>
      </c>
      <c r="B17" s="27">
        <v>0.40069444444444446</v>
      </c>
      <c r="C17" s="14" t="s">
        <v>97</v>
      </c>
      <c r="D17" s="14">
        <v>61</v>
      </c>
      <c r="E17" s="14">
        <v>283</v>
      </c>
      <c r="F17" s="14"/>
      <c r="G17" s="18">
        <v>5.41</v>
      </c>
      <c r="H17" s="18">
        <v>11</v>
      </c>
      <c r="I17" s="18">
        <v>32</v>
      </c>
      <c r="J17" s="18">
        <v>163</v>
      </c>
      <c r="K17" s="18">
        <v>6.4</v>
      </c>
      <c r="L17" s="18"/>
      <c r="M17" s="29">
        <f t="shared" si="0"/>
        <v>0</v>
      </c>
      <c r="N17" s="30">
        <v>11.2</v>
      </c>
      <c r="O17" s="30">
        <v>7.3630000000000004</v>
      </c>
      <c r="P17" s="30">
        <v>32.700000000000003</v>
      </c>
      <c r="Q17" s="30">
        <v>108</v>
      </c>
      <c r="R17" s="18">
        <v>88</v>
      </c>
      <c r="S17" s="18">
        <v>100</v>
      </c>
      <c r="T17" s="18">
        <v>248</v>
      </c>
      <c r="U17" s="18">
        <v>0.5</v>
      </c>
      <c r="V17" s="18">
        <v>19.36</v>
      </c>
      <c r="W17" s="18">
        <v>171</v>
      </c>
      <c r="X17" s="18">
        <v>115.37</v>
      </c>
      <c r="Y17" s="18">
        <v>345.54</v>
      </c>
      <c r="Z17" s="18">
        <v>8</v>
      </c>
      <c r="AA17" s="18">
        <v>12.4</v>
      </c>
      <c r="AB17" s="18">
        <v>2.2999999999999998</v>
      </c>
      <c r="AC17" s="18">
        <v>58.6</v>
      </c>
      <c r="AD17" s="18">
        <v>70.7</v>
      </c>
      <c r="AE17" s="18">
        <v>124.1</v>
      </c>
      <c r="AF17" s="32">
        <v>19.399999999999999</v>
      </c>
      <c r="AG17" s="32">
        <v>24.3</v>
      </c>
      <c r="AH17" s="32">
        <v>2.44</v>
      </c>
    </row>
    <row r="18" spans="1:34" ht="15.95">
      <c r="A18" s="34" t="s">
        <v>126</v>
      </c>
      <c r="B18" s="27">
        <v>0.44236111111111109</v>
      </c>
      <c r="C18" s="14" t="s">
        <v>97</v>
      </c>
      <c r="D18" s="14">
        <v>65</v>
      </c>
      <c r="E18" s="14">
        <v>279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10.4</v>
      </c>
      <c r="O18" s="30">
        <v>7.4290000000000003</v>
      </c>
      <c r="P18" s="30">
        <v>37.200000000000003</v>
      </c>
      <c r="Q18" s="30">
        <v>98.3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127</v>
      </c>
      <c r="B19" s="27">
        <v>0.48402777777777778</v>
      </c>
      <c r="C19" s="14" t="s">
        <v>97</v>
      </c>
      <c r="D19" s="14">
        <v>50</v>
      </c>
      <c r="E19" s="14">
        <v>291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4.2</v>
      </c>
      <c r="O19" s="30">
        <v>7.47</v>
      </c>
      <c r="P19" s="30">
        <v>41.1</v>
      </c>
      <c r="Q19" s="30">
        <v>79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0.52569444444444446</v>
      </c>
      <c r="C20" s="14" t="s">
        <v>97</v>
      </c>
      <c r="D20" s="14">
        <v>50</v>
      </c>
      <c r="E20" s="14">
        <v>295</v>
      </c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>
        <v>4</v>
      </c>
      <c r="O20" s="30">
        <v>7.5060000000000002</v>
      </c>
      <c r="P20" s="30">
        <v>38.6</v>
      </c>
      <c r="Q20" s="30">
        <v>91.7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0.53263888888888888</v>
      </c>
      <c r="C21" s="14" t="s">
        <v>97</v>
      </c>
      <c r="D21" s="14">
        <v>56</v>
      </c>
      <c r="E21" s="14">
        <v>291</v>
      </c>
      <c r="F21" s="14"/>
      <c r="G21" s="18">
        <v>6.53</v>
      </c>
      <c r="H21" s="18">
        <v>13</v>
      </c>
      <c r="I21" s="18">
        <v>39</v>
      </c>
      <c r="J21" s="18">
        <v>175</v>
      </c>
      <c r="K21" s="18">
        <v>4.5</v>
      </c>
      <c r="L21" s="18"/>
      <c r="M21" s="29">
        <f t="shared" si="0"/>
        <v>0</v>
      </c>
      <c r="N21" s="30">
        <v>3.8</v>
      </c>
      <c r="O21" s="30">
        <v>7.49</v>
      </c>
      <c r="P21" s="30">
        <v>40.6</v>
      </c>
      <c r="Q21" s="30">
        <v>47.5</v>
      </c>
      <c r="R21" s="18">
        <v>283</v>
      </c>
      <c r="S21" s="18">
        <v>172</v>
      </c>
      <c r="T21" s="18">
        <v>431</v>
      </c>
      <c r="U21" s="18">
        <v>0.8</v>
      </c>
      <c r="V21" s="18">
        <v>22.74</v>
      </c>
      <c r="W21" s="18">
        <v>181</v>
      </c>
      <c r="X21" s="18">
        <v>132.34</v>
      </c>
      <c r="Y21" s="18">
        <v>172.21</v>
      </c>
      <c r="Z21" s="18">
        <v>6</v>
      </c>
      <c r="AA21" s="18"/>
      <c r="AB21" s="18"/>
      <c r="AC21" s="18"/>
      <c r="AD21" s="18"/>
      <c r="AE21" s="18">
        <v>136.9</v>
      </c>
      <c r="AF21" s="32">
        <v>17.600000000000001</v>
      </c>
      <c r="AG21" s="32">
        <v>18.8</v>
      </c>
      <c r="AH21" s="32">
        <v>3.83</v>
      </c>
    </row>
    <row r="22" spans="1:34" ht="17.100000000000001" thickBot="1">
      <c r="A22" s="16" t="s">
        <v>128</v>
      </c>
      <c r="B22" s="27">
        <v>0.57430555555555551</v>
      </c>
      <c r="C22" s="14" t="s">
        <v>97</v>
      </c>
      <c r="D22" s="14">
        <v>66</v>
      </c>
      <c r="E22" s="14">
        <v>197</v>
      </c>
      <c r="F22" s="14"/>
      <c r="G22" s="18">
        <v>6.51</v>
      </c>
      <c r="H22" s="18">
        <v>13</v>
      </c>
      <c r="I22" s="18">
        <v>39</v>
      </c>
      <c r="J22" s="18">
        <v>162</v>
      </c>
      <c r="K22" s="18">
        <v>4.5</v>
      </c>
      <c r="L22" s="18"/>
      <c r="M22" s="29">
        <f t="shared" si="0"/>
        <v>0</v>
      </c>
      <c r="N22" s="30">
        <v>4.4000000000000004</v>
      </c>
      <c r="O22" s="30">
        <v>7.468</v>
      </c>
      <c r="P22" s="30">
        <v>37.1</v>
      </c>
      <c r="Q22" s="30">
        <v>96.5</v>
      </c>
      <c r="R22" s="18">
        <v>362</v>
      </c>
      <c r="S22" s="18">
        <v>183</v>
      </c>
      <c r="T22" s="18">
        <v>728</v>
      </c>
      <c r="U22" s="18">
        <v>0.9</v>
      </c>
      <c r="V22" s="18">
        <v>22.42</v>
      </c>
      <c r="W22" s="18">
        <v>175</v>
      </c>
      <c r="X22" s="18">
        <v>126.15</v>
      </c>
      <c r="Y22" s="18">
        <v>146.96</v>
      </c>
      <c r="Z22" s="18">
        <v>8</v>
      </c>
      <c r="AA22" s="9">
        <v>22.8</v>
      </c>
      <c r="AB22" s="9">
        <v>5.3</v>
      </c>
      <c r="AC22" s="9">
        <v>36.200000000000003</v>
      </c>
      <c r="AD22" s="9">
        <v>66.5</v>
      </c>
      <c r="AE22" s="9">
        <v>139.1</v>
      </c>
      <c r="AF22" s="9">
        <v>19.2</v>
      </c>
      <c r="AG22" s="32">
        <v>38</v>
      </c>
      <c r="AH22" s="32">
        <v>4.76</v>
      </c>
    </row>
    <row r="23" spans="1:34" ht="15.95">
      <c r="A23" s="16" t="s">
        <v>105</v>
      </c>
      <c r="B23" s="27">
        <v>0.40069444444444446</v>
      </c>
      <c r="C23" s="14" t="s">
        <v>97</v>
      </c>
      <c r="D23" s="14">
        <v>82</v>
      </c>
      <c r="E23" s="14">
        <v>289</v>
      </c>
      <c r="F23" s="14"/>
      <c r="G23" s="28">
        <v>5.75</v>
      </c>
      <c r="H23" s="28">
        <v>11.1</v>
      </c>
      <c r="I23" s="18">
        <v>33.9</v>
      </c>
      <c r="J23" s="18">
        <v>190</v>
      </c>
      <c r="K23" s="18">
        <v>6.3</v>
      </c>
      <c r="L23" s="18"/>
      <c r="M23" s="29">
        <f t="shared" si="0"/>
        <v>0</v>
      </c>
      <c r="N23" s="30">
        <v>2.4</v>
      </c>
      <c r="O23" s="30">
        <v>7.492</v>
      </c>
      <c r="P23" s="30">
        <v>27.1</v>
      </c>
      <c r="Q23" s="30">
        <v>98.1</v>
      </c>
      <c r="R23" s="18">
        <v>308</v>
      </c>
      <c r="S23" s="18">
        <v>360</v>
      </c>
      <c r="T23" s="18">
        <v>282</v>
      </c>
      <c r="U23" s="18">
        <v>0.5</v>
      </c>
      <c r="V23" s="18">
        <v>19.97</v>
      </c>
      <c r="W23" s="18">
        <v>199</v>
      </c>
      <c r="X23" s="18">
        <v>237.09</v>
      </c>
      <c r="Y23" s="18">
        <v>108.09</v>
      </c>
      <c r="Z23" s="18">
        <v>3</v>
      </c>
      <c r="AA23" s="9">
        <v>23.9</v>
      </c>
      <c r="AB23" s="9">
        <v>6.7</v>
      </c>
      <c r="AC23" s="9">
        <v>34.700000000000003</v>
      </c>
      <c r="AD23" s="9">
        <v>80.8</v>
      </c>
      <c r="AE23" s="9">
        <v>96.4</v>
      </c>
      <c r="AF23" s="9">
        <v>15.6</v>
      </c>
      <c r="AG23" s="32">
        <v>26.8</v>
      </c>
      <c r="AH23" s="32">
        <v>7.99</v>
      </c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7"/>
      <c r="B25" s="33"/>
      <c r="C25" s="33"/>
      <c r="D25" s="33"/>
      <c r="E25" s="33"/>
      <c r="F25" s="33"/>
      <c r="G25" s="33"/>
      <c r="H25" s="9"/>
      <c r="I25" s="2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4">
      <c r="A26" s="7"/>
      <c r="B26" s="33"/>
      <c r="C26" s="33"/>
      <c r="D26" s="33"/>
      <c r="E26" s="33"/>
      <c r="F26" s="33"/>
      <c r="G26" s="3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D4202BC0-AE69-4F7E-86B1-39AB856CCF60}">
      <formula1>"incomplete, COMPLETED"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1CCB-CB7D-45F6-BA5B-E6F8E0922979}">
  <dimension ref="A1:AZ28"/>
  <sheetViews>
    <sheetView workbookViewId="0">
      <selection activeCell="AA25" sqref="AA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683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1.84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45233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59.96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59.96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8532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0.2722222222222222</v>
      </c>
      <c r="C15" s="14" t="s">
        <v>97</v>
      </c>
      <c r="D15" t="s">
        <v>501</v>
      </c>
      <c r="E15">
        <v>294</v>
      </c>
      <c r="F15" t="s">
        <v>131</v>
      </c>
      <c r="G15" t="s">
        <v>684</v>
      </c>
      <c r="H15" t="s">
        <v>249</v>
      </c>
      <c r="I15" t="s">
        <v>264</v>
      </c>
      <c r="J15" t="s">
        <v>312</v>
      </c>
      <c r="K15">
        <v>2.6</v>
      </c>
      <c r="L15" t="s">
        <v>131</v>
      </c>
      <c r="M15" t="s">
        <v>131</v>
      </c>
      <c r="N15" t="s">
        <v>519</v>
      </c>
      <c r="O15">
        <v>7.4729999999999999</v>
      </c>
      <c r="P15">
        <v>37.5</v>
      </c>
      <c r="Q15">
        <v>91.3</v>
      </c>
      <c r="R15" t="s">
        <v>604</v>
      </c>
      <c r="S15" t="s">
        <v>428</v>
      </c>
      <c r="T15" t="s">
        <v>235</v>
      </c>
      <c r="U15" t="s">
        <v>190</v>
      </c>
      <c r="V15" t="s">
        <v>685</v>
      </c>
      <c r="W15" t="s">
        <v>686</v>
      </c>
      <c r="X15" t="s">
        <v>687</v>
      </c>
      <c r="Y15" t="s">
        <v>688</v>
      </c>
      <c r="Z15" t="s">
        <v>381</v>
      </c>
      <c r="AA15">
        <v>6.9</v>
      </c>
      <c r="AB15" t="s">
        <v>519</v>
      </c>
      <c r="AC15" t="s">
        <v>689</v>
      </c>
      <c r="AD15" t="s">
        <v>690</v>
      </c>
      <c r="AE15" s="18">
        <v>126.7</v>
      </c>
      <c r="AF15" s="32">
        <v>18</v>
      </c>
      <c r="AG15" s="32">
        <v>20.8</v>
      </c>
      <c r="AH15" s="32">
        <v>1.1200000000000001</v>
      </c>
    </row>
    <row r="16" spans="1:52">
      <c r="A16" s="16" t="s">
        <v>98</v>
      </c>
      <c r="B16" s="27">
        <v>0.38194444444444442</v>
      </c>
      <c r="C16" s="14" t="s">
        <v>97</v>
      </c>
      <c r="D16" t="s">
        <v>691</v>
      </c>
      <c r="E16">
        <v>212</v>
      </c>
      <c r="F16" t="s">
        <v>131</v>
      </c>
      <c r="G16" t="s">
        <v>497</v>
      </c>
      <c r="H16" t="s">
        <v>149</v>
      </c>
      <c r="I16" t="s">
        <v>692</v>
      </c>
      <c r="J16" t="s">
        <v>693</v>
      </c>
      <c r="K16">
        <v>4.4000000000000004</v>
      </c>
      <c r="L16" t="s">
        <v>131</v>
      </c>
      <c r="M16" t="s">
        <v>131</v>
      </c>
      <c r="N16" t="s">
        <v>694</v>
      </c>
      <c r="O16">
        <v>7.3760000000000003</v>
      </c>
      <c r="P16">
        <v>33.299999999999997</v>
      </c>
      <c r="Q16">
        <v>87.3</v>
      </c>
      <c r="R16" t="s">
        <v>295</v>
      </c>
      <c r="S16" t="s">
        <v>652</v>
      </c>
      <c r="T16" t="s">
        <v>695</v>
      </c>
      <c r="U16" t="s">
        <v>519</v>
      </c>
      <c r="V16" t="s">
        <v>696</v>
      </c>
      <c r="W16" t="s">
        <v>476</v>
      </c>
      <c r="X16" t="s">
        <v>697</v>
      </c>
      <c r="Y16" t="s">
        <v>698</v>
      </c>
      <c r="Z16" t="s">
        <v>646</v>
      </c>
      <c r="AA16">
        <v>12.5</v>
      </c>
      <c r="AB16" t="s">
        <v>699</v>
      </c>
      <c r="AC16" t="s">
        <v>700</v>
      </c>
      <c r="AD16" t="s">
        <v>701</v>
      </c>
      <c r="AE16" s="18">
        <v>139.9</v>
      </c>
      <c r="AF16" s="32">
        <v>15.7</v>
      </c>
      <c r="AG16" s="32">
        <v>16.5</v>
      </c>
      <c r="AH16" s="32">
        <v>1.37</v>
      </c>
    </row>
    <row r="17" spans="1:34">
      <c r="A17" s="16" t="s">
        <v>99</v>
      </c>
      <c r="B17" s="27">
        <v>0.3888888888888889</v>
      </c>
      <c r="C17" s="14" t="s">
        <v>97</v>
      </c>
      <c r="D17" t="s">
        <v>236</v>
      </c>
      <c r="E17">
        <v>242</v>
      </c>
      <c r="F17" t="s">
        <v>131</v>
      </c>
      <c r="G17" t="s">
        <v>702</v>
      </c>
      <c r="H17" t="s">
        <v>703</v>
      </c>
      <c r="I17" t="s">
        <v>704</v>
      </c>
      <c r="J17" t="s">
        <v>705</v>
      </c>
      <c r="K17">
        <v>4.8</v>
      </c>
      <c r="L17" t="s">
        <v>131</v>
      </c>
      <c r="M17" t="s">
        <v>131</v>
      </c>
      <c r="N17" t="s">
        <v>271</v>
      </c>
      <c r="O17">
        <v>7.36</v>
      </c>
      <c r="P17">
        <v>35.799999999999997</v>
      </c>
      <c r="Q17">
        <v>91.7</v>
      </c>
      <c r="R17" t="s">
        <v>706</v>
      </c>
      <c r="S17" t="s">
        <v>641</v>
      </c>
      <c r="T17" t="s">
        <v>707</v>
      </c>
      <c r="U17" t="s">
        <v>559</v>
      </c>
      <c r="V17" t="s">
        <v>708</v>
      </c>
      <c r="W17" t="s">
        <v>709</v>
      </c>
      <c r="X17" t="s">
        <v>710</v>
      </c>
      <c r="Y17" t="s">
        <v>711</v>
      </c>
      <c r="Z17" t="s">
        <v>646</v>
      </c>
      <c r="AA17">
        <v>10.4</v>
      </c>
      <c r="AB17" t="s">
        <v>646</v>
      </c>
      <c r="AC17" t="s">
        <v>516</v>
      </c>
      <c r="AD17" t="s">
        <v>712</v>
      </c>
      <c r="AE17" s="18">
        <v>101.6</v>
      </c>
      <c r="AF17" s="32">
        <v>18.899999999999999</v>
      </c>
      <c r="AG17" s="32">
        <v>26</v>
      </c>
      <c r="AH17" s="32">
        <v>1.83</v>
      </c>
    </row>
    <row r="18" spans="1:34">
      <c r="A18" s="34" t="s">
        <v>126</v>
      </c>
      <c r="B18" s="27">
        <v>0.43055555555555558</v>
      </c>
      <c r="C18" s="14" t="s">
        <v>97</v>
      </c>
      <c r="D18" t="s">
        <v>486</v>
      </c>
      <c r="E18">
        <v>280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713</v>
      </c>
      <c r="O18">
        <v>7.5570000000000004</v>
      </c>
      <c r="P18">
        <v>27.5</v>
      </c>
      <c r="Q18">
        <v>102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127</v>
      </c>
      <c r="B19" s="27">
        <v>0.47222222222222221</v>
      </c>
      <c r="C19" s="14" t="s">
        <v>97</v>
      </c>
      <c r="D19" t="s">
        <v>407</v>
      </c>
      <c r="E19">
        <v>281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714</v>
      </c>
      <c r="O19">
        <v>7.5309999999999997</v>
      </c>
      <c r="P19">
        <v>35.6</v>
      </c>
      <c r="Q19">
        <v>97.3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100</v>
      </c>
      <c r="B20" s="27">
        <v>0.51388888888888884</v>
      </c>
      <c r="C20" s="14" t="s">
        <v>97</v>
      </c>
      <c r="D20" t="s">
        <v>218</v>
      </c>
      <c r="E20">
        <v>292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296</v>
      </c>
      <c r="O20">
        <v>7.532</v>
      </c>
      <c r="P20">
        <v>34</v>
      </c>
      <c r="Q20">
        <v>103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104</v>
      </c>
      <c r="B21" s="27">
        <v>0.52083333333333337</v>
      </c>
      <c r="C21" s="14" t="s">
        <v>97</v>
      </c>
      <c r="D21" t="s">
        <v>715</v>
      </c>
      <c r="E21">
        <v>293</v>
      </c>
      <c r="F21" t="s">
        <v>131</v>
      </c>
      <c r="G21" t="s">
        <v>713</v>
      </c>
      <c r="H21" t="s">
        <v>552</v>
      </c>
      <c r="I21" t="s">
        <v>716</v>
      </c>
      <c r="J21" t="s">
        <v>717</v>
      </c>
      <c r="K21">
        <v>3.6</v>
      </c>
      <c r="L21" t="s">
        <v>131</v>
      </c>
      <c r="M21" t="s">
        <v>131</v>
      </c>
      <c r="N21" t="s">
        <v>646</v>
      </c>
      <c r="O21">
        <v>7.52</v>
      </c>
      <c r="P21">
        <v>34.700000000000003</v>
      </c>
      <c r="Q21">
        <v>101</v>
      </c>
      <c r="R21" t="s">
        <v>422</v>
      </c>
      <c r="S21" t="s">
        <v>426</v>
      </c>
      <c r="T21" t="s">
        <v>718</v>
      </c>
      <c r="U21" t="s">
        <v>190</v>
      </c>
      <c r="V21" t="s">
        <v>719</v>
      </c>
      <c r="W21" t="s">
        <v>720</v>
      </c>
      <c r="X21" t="s">
        <v>721</v>
      </c>
      <c r="Y21" t="s">
        <v>722</v>
      </c>
      <c r="Z21" t="s">
        <v>646</v>
      </c>
      <c r="AA21" t="s">
        <v>131</v>
      </c>
      <c r="AB21" t="s">
        <v>131</v>
      </c>
      <c r="AC21" t="s">
        <v>131</v>
      </c>
      <c r="AE21" s="18">
        <v>140.9</v>
      </c>
      <c r="AF21" s="32">
        <v>23.5</v>
      </c>
      <c r="AG21" s="32">
        <v>20.9</v>
      </c>
      <c r="AH21" s="32">
        <v>2.2400000000000002</v>
      </c>
    </row>
    <row r="22" spans="1:34">
      <c r="A22" s="16" t="s">
        <v>723</v>
      </c>
      <c r="B22" s="27">
        <v>0.5625</v>
      </c>
      <c r="C22" s="14" t="s">
        <v>97</v>
      </c>
      <c r="D22" t="s">
        <v>401</v>
      </c>
      <c r="E22">
        <v>288</v>
      </c>
      <c r="F22" t="s">
        <v>131</v>
      </c>
      <c r="G22">
        <v>5.07</v>
      </c>
      <c r="H22">
        <v>11.2</v>
      </c>
      <c r="I22">
        <v>34.9</v>
      </c>
      <c r="J22">
        <v>167</v>
      </c>
      <c r="K22">
        <v>3.9</v>
      </c>
      <c r="L22" t="s">
        <v>131</v>
      </c>
      <c r="M22" t="s">
        <v>131</v>
      </c>
      <c r="N22">
        <v>1.8</v>
      </c>
      <c r="O22">
        <v>7.5309999999999997</v>
      </c>
      <c r="P22">
        <v>35.5</v>
      </c>
      <c r="Q22">
        <v>97.1</v>
      </c>
      <c r="R22">
        <v>225</v>
      </c>
      <c r="S22">
        <v>90</v>
      </c>
      <c r="T22">
        <v>142</v>
      </c>
      <c r="U22">
        <v>0.7</v>
      </c>
      <c r="V22">
        <v>16.45</v>
      </c>
      <c r="W22">
        <v>347</v>
      </c>
      <c r="X22">
        <v>192.02</v>
      </c>
      <c r="Y22">
        <v>149.44</v>
      </c>
      <c r="Z22">
        <v>2</v>
      </c>
      <c r="AA22">
        <v>13.2</v>
      </c>
      <c r="AB22">
        <v>2</v>
      </c>
      <c r="AC22">
        <v>58.7</v>
      </c>
      <c r="AD22" t="s">
        <v>700</v>
      </c>
      <c r="AE22" s="9">
        <v>135.30000000000001</v>
      </c>
      <c r="AF22" s="9">
        <v>14.6</v>
      </c>
      <c r="AG22" s="32">
        <v>19.7</v>
      </c>
      <c r="AH22" s="32">
        <v>2.0699999999999998</v>
      </c>
    </row>
    <row r="23" spans="1:34">
      <c r="A23" s="16" t="s">
        <v>105</v>
      </c>
      <c r="B23" s="27">
        <v>0.3888888888888889</v>
      </c>
      <c r="C23" s="14" t="s">
        <v>97</v>
      </c>
      <c r="D23" t="s">
        <v>715</v>
      </c>
      <c r="E23">
        <v>277</v>
      </c>
      <c r="F23" t="s">
        <v>131</v>
      </c>
      <c r="G23" t="s">
        <v>724</v>
      </c>
      <c r="H23" t="s">
        <v>725</v>
      </c>
      <c r="I23" t="s">
        <v>726</v>
      </c>
      <c r="J23" t="s">
        <v>727</v>
      </c>
      <c r="K23">
        <v>3.9</v>
      </c>
      <c r="L23" t="s">
        <v>131</v>
      </c>
      <c r="M23" t="s">
        <v>131</v>
      </c>
      <c r="N23" t="s">
        <v>230</v>
      </c>
      <c r="O23">
        <v>7.5250000000000004</v>
      </c>
      <c r="P23">
        <v>28.1</v>
      </c>
      <c r="Q23">
        <v>100</v>
      </c>
      <c r="R23" t="s">
        <v>728</v>
      </c>
      <c r="S23" t="s">
        <v>729</v>
      </c>
      <c r="T23" t="s">
        <v>730</v>
      </c>
      <c r="U23" t="s">
        <v>190</v>
      </c>
      <c r="V23" t="s">
        <v>731</v>
      </c>
      <c r="W23" t="s">
        <v>732</v>
      </c>
      <c r="X23" t="s">
        <v>733</v>
      </c>
      <c r="Y23" t="s">
        <v>734</v>
      </c>
      <c r="Z23" t="s">
        <v>494</v>
      </c>
      <c r="AA23">
        <v>18.899999999999999</v>
      </c>
      <c r="AB23" t="s">
        <v>735</v>
      </c>
      <c r="AC23" t="s">
        <v>736</v>
      </c>
      <c r="AD23" t="s">
        <v>737</v>
      </c>
      <c r="AE23" s="9">
        <v>140.6</v>
      </c>
      <c r="AF23" s="9">
        <v>13.7</v>
      </c>
      <c r="AG23" s="32">
        <v>20.3</v>
      </c>
      <c r="AH23" s="32">
        <v>3.32</v>
      </c>
    </row>
    <row r="24" spans="1:34">
      <c r="A24" s="16" t="s">
        <v>106</v>
      </c>
      <c r="B24" s="27"/>
      <c r="C24" s="14" t="s">
        <v>97</v>
      </c>
      <c r="D24" t="s">
        <v>131</v>
      </c>
      <c r="E24" t="s">
        <v>131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131</v>
      </c>
      <c r="W24" t="s">
        <v>131</v>
      </c>
      <c r="X24" t="s">
        <v>131</v>
      </c>
      <c r="Y24" t="s">
        <v>131</v>
      </c>
      <c r="Z24" t="s">
        <v>131</v>
      </c>
      <c r="AA24" t="s">
        <v>131</v>
      </c>
      <c r="AB24" t="s">
        <v>131</v>
      </c>
      <c r="AC24" t="s">
        <v>131</v>
      </c>
      <c r="AD24" t="s">
        <v>131</v>
      </c>
      <c r="AE24" s="9"/>
      <c r="AF24" s="9"/>
      <c r="AG24" s="32"/>
      <c r="AH24" s="32"/>
    </row>
    <row r="25" spans="1:34">
      <c r="A25" s="16" t="s">
        <v>107</v>
      </c>
      <c r="B25" s="27"/>
      <c r="C25" s="14" t="s">
        <v>97</v>
      </c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32"/>
      <c r="AH25" s="32"/>
    </row>
    <row r="26" spans="1:34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7EA4CC91-F630-4CEB-ADC0-23419C6A8474}">
      <formula1>"incomplete, COMPLETED"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1CDD-C14D-499C-80A6-4F33F016376D}">
  <dimension ref="A1:AZ28"/>
  <sheetViews>
    <sheetView topLeftCell="A2" workbookViewId="0">
      <selection activeCell="AA21" sqref="AA21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738</v>
      </c>
      <c r="C4" s="53"/>
      <c r="D4" s="5"/>
      <c r="E4" s="4" t="s">
        <v>4</v>
      </c>
      <c r="F4" s="54" t="s">
        <v>115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1.7</v>
      </c>
      <c r="C5" s="53"/>
      <c r="D5" s="5"/>
      <c r="E5" s="4" t="s">
        <v>8</v>
      </c>
      <c r="F5" s="56" t="s">
        <v>116</v>
      </c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45233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53.5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53.5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8535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>
        <v>0.27777777777777779</v>
      </c>
      <c r="C15" s="14" t="s">
        <v>97</v>
      </c>
      <c r="D15" s="14">
        <v>74</v>
      </c>
      <c r="E15" s="14">
        <v>270</v>
      </c>
      <c r="F15" s="14"/>
      <c r="G15" s="28">
        <v>5.35</v>
      </c>
      <c r="H15" s="28">
        <v>11.4</v>
      </c>
      <c r="I15" s="18">
        <v>35.5</v>
      </c>
      <c r="J15" s="18">
        <v>215</v>
      </c>
      <c r="K15" s="18">
        <v>3.5</v>
      </c>
      <c r="L15" s="18"/>
      <c r="M15" s="29">
        <f>L15/(64.5*H15)</f>
        <v>0</v>
      </c>
      <c r="N15" s="30">
        <v>1.1000000000000001</v>
      </c>
      <c r="O15" s="30">
        <v>7.4429999999999996</v>
      </c>
      <c r="P15" s="30">
        <v>40.700000000000003</v>
      </c>
      <c r="Q15" s="30">
        <v>76.099999999999994</v>
      </c>
      <c r="R15" s="18">
        <v>18</v>
      </c>
      <c r="S15" s="31">
        <v>35</v>
      </c>
      <c r="T15" s="18">
        <v>145</v>
      </c>
      <c r="U15" s="18">
        <v>0.5</v>
      </c>
      <c r="V15" s="18">
        <v>13.54</v>
      </c>
      <c r="W15" s="18">
        <v>269</v>
      </c>
      <c r="X15" s="18">
        <v>80.05</v>
      </c>
      <c r="Y15" s="18">
        <v>147.56</v>
      </c>
      <c r="Z15" s="18">
        <v>5</v>
      </c>
      <c r="AA15" s="18">
        <v>10.199999999999999</v>
      </c>
      <c r="AB15" s="18">
        <v>2.9</v>
      </c>
      <c r="AC15" s="18">
        <v>49.8</v>
      </c>
      <c r="AD15" s="18">
        <v>56.4</v>
      </c>
      <c r="AE15" s="18">
        <v>122.4</v>
      </c>
      <c r="AF15" s="32">
        <v>18.899999999999999</v>
      </c>
      <c r="AG15" s="32">
        <v>19.899999999999999</v>
      </c>
      <c r="AH15" s="32">
        <v>1.58</v>
      </c>
    </row>
    <row r="16" spans="1:52" ht="15.95">
      <c r="A16" s="16" t="s">
        <v>98</v>
      </c>
      <c r="B16" s="27">
        <v>0.39583333333333331</v>
      </c>
      <c r="C16" s="14" t="s">
        <v>97</v>
      </c>
      <c r="D16" s="14">
        <v>39</v>
      </c>
      <c r="E16" s="14">
        <v>177</v>
      </c>
      <c r="F16" s="14"/>
      <c r="G16" s="18">
        <v>3.3</v>
      </c>
      <c r="H16" s="18">
        <v>7.2</v>
      </c>
      <c r="I16" s="18">
        <v>21.7</v>
      </c>
      <c r="J16" s="18">
        <v>165</v>
      </c>
      <c r="K16" s="18">
        <v>4.0999999999999996</v>
      </c>
      <c r="L16" s="18"/>
      <c r="M16" s="29">
        <f t="shared" ref="M16:M25" si="0">L16/(64.5*H16)</f>
        <v>0</v>
      </c>
      <c r="N16" s="30">
        <v>10.3</v>
      </c>
      <c r="O16" s="30">
        <v>7.4420000000000002</v>
      </c>
      <c r="P16" s="30">
        <v>26.9</v>
      </c>
      <c r="Q16" s="30">
        <v>106</v>
      </c>
      <c r="R16" s="18">
        <v>103</v>
      </c>
      <c r="S16" s="18">
        <v>58</v>
      </c>
      <c r="T16" s="18">
        <v>141</v>
      </c>
      <c r="U16" s="18">
        <v>0.7</v>
      </c>
      <c r="V16" s="18">
        <v>20.2</v>
      </c>
      <c r="W16" s="18">
        <v>238</v>
      </c>
      <c r="X16" s="18">
        <v>126.12</v>
      </c>
      <c r="Y16" s="18">
        <v>540.6</v>
      </c>
      <c r="Z16" s="18">
        <v>2</v>
      </c>
      <c r="AA16" s="18">
        <v>8.6</v>
      </c>
      <c r="AB16" s="18">
        <v>1.2</v>
      </c>
      <c r="AC16" s="18">
        <v>72.400000000000006</v>
      </c>
      <c r="AD16" s="18">
        <v>60.5</v>
      </c>
      <c r="AE16" s="18">
        <v>133.6</v>
      </c>
      <c r="AF16" s="32">
        <v>14</v>
      </c>
      <c r="AG16" s="32">
        <v>17</v>
      </c>
      <c r="AH16" s="32">
        <v>1.77</v>
      </c>
    </row>
    <row r="17" spans="1:34" ht="15.95">
      <c r="A17" s="16" t="s">
        <v>99</v>
      </c>
      <c r="B17" s="27">
        <v>0.40277777777777779</v>
      </c>
      <c r="C17" s="14" t="s">
        <v>97</v>
      </c>
      <c r="D17" s="14">
        <v>63</v>
      </c>
      <c r="E17" s="14">
        <v>281</v>
      </c>
      <c r="F17" s="14"/>
      <c r="G17" s="18">
        <v>3.99</v>
      </c>
      <c r="H17" s="18">
        <v>8.6999999999999993</v>
      </c>
      <c r="I17" s="18">
        <v>26.4</v>
      </c>
      <c r="J17" s="18">
        <v>133</v>
      </c>
      <c r="K17" s="18">
        <v>5.4</v>
      </c>
      <c r="L17" s="18"/>
      <c r="M17" s="29">
        <f t="shared" si="0"/>
        <v>0</v>
      </c>
      <c r="N17" s="30">
        <v>9.1</v>
      </c>
      <c r="O17" s="30">
        <v>7.3460000000000001</v>
      </c>
      <c r="P17" s="30">
        <v>29.9</v>
      </c>
      <c r="Q17" s="30">
        <v>108</v>
      </c>
      <c r="R17" s="18">
        <v>91</v>
      </c>
      <c r="S17" s="18">
        <v>54</v>
      </c>
      <c r="T17" s="18">
        <v>140</v>
      </c>
      <c r="U17" s="18">
        <v>0.7</v>
      </c>
      <c r="V17" s="18">
        <v>19.25</v>
      </c>
      <c r="W17" s="18">
        <v>233</v>
      </c>
      <c r="X17" s="18">
        <v>117.26</v>
      </c>
      <c r="Y17" s="18">
        <v>540.01</v>
      </c>
      <c r="Z17" s="18">
        <v>2</v>
      </c>
      <c r="AA17" s="18">
        <v>9</v>
      </c>
      <c r="AB17" s="18">
        <v>1.3</v>
      </c>
      <c r="AC17" s="18">
        <v>70.400000000000006</v>
      </c>
      <c r="AD17" s="18">
        <v>63.1</v>
      </c>
      <c r="AE17" s="18">
        <v>131.1</v>
      </c>
      <c r="AF17" s="32">
        <v>19.3</v>
      </c>
      <c r="AG17" s="32"/>
      <c r="AH17" s="32">
        <v>4.3360000000000003</v>
      </c>
    </row>
    <row r="18" spans="1:34" ht="15.95">
      <c r="A18" s="34" t="s">
        <v>126</v>
      </c>
      <c r="B18" s="27">
        <v>0.44444444444444442</v>
      </c>
      <c r="C18" s="14" t="s">
        <v>97</v>
      </c>
      <c r="D18" s="14">
        <v>78</v>
      </c>
      <c r="E18" s="14">
        <v>299</v>
      </c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>
        <v>8.5</v>
      </c>
      <c r="O18" s="30">
        <v>7.3789999999999996</v>
      </c>
      <c r="P18" s="30">
        <v>37.4</v>
      </c>
      <c r="Q18" s="30">
        <v>106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127</v>
      </c>
      <c r="B19" s="27">
        <v>0.4861111111111111</v>
      </c>
      <c r="C19" s="14" t="s">
        <v>97</v>
      </c>
      <c r="D19" s="14">
        <v>57</v>
      </c>
      <c r="E19" s="14">
        <v>298</v>
      </c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>
        <v>8.5</v>
      </c>
      <c r="O19" s="30">
        <v>7.3630000000000004</v>
      </c>
      <c r="P19" s="30">
        <v>31.2</v>
      </c>
      <c r="Q19" s="30">
        <v>108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100</v>
      </c>
      <c r="B20" s="27">
        <v>0.52777777777777779</v>
      </c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104</v>
      </c>
      <c r="B21" s="27">
        <v>0.53472222222222221</v>
      </c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128</v>
      </c>
      <c r="B22" s="27">
        <v>0.57638888888888884</v>
      </c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2E244591-A110-455E-95C4-B584552827D8}">
      <formula1>"incomplete, COMPLETED"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ECFA-FC77-4334-9EF4-AD0CB03071DE}">
  <dimension ref="A1:AZ27"/>
  <sheetViews>
    <sheetView workbookViewId="0">
      <selection activeCell="Z34" sqref="Z34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739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1.9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46343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59.85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59.85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8532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0.21597222222222223</v>
      </c>
      <c r="C15" s="14" t="s">
        <v>97</v>
      </c>
      <c r="D15" t="s">
        <v>168</v>
      </c>
      <c r="E15">
        <v>272</v>
      </c>
      <c r="F15" t="s">
        <v>131</v>
      </c>
      <c r="G15" t="s">
        <v>740</v>
      </c>
      <c r="H15" t="s">
        <v>249</v>
      </c>
      <c r="I15" t="s">
        <v>545</v>
      </c>
      <c r="J15" t="s">
        <v>741</v>
      </c>
      <c r="K15">
        <v>3.6</v>
      </c>
      <c r="L15" t="s">
        <v>131</v>
      </c>
      <c r="M15" t="s">
        <v>131</v>
      </c>
      <c r="N15" t="s">
        <v>699</v>
      </c>
      <c r="O15">
        <v>7.45</v>
      </c>
      <c r="P15">
        <v>39.6</v>
      </c>
      <c r="Q15">
        <v>82.4</v>
      </c>
      <c r="R15" t="s">
        <v>552</v>
      </c>
      <c r="S15" t="s">
        <v>652</v>
      </c>
      <c r="T15" t="s">
        <v>170</v>
      </c>
      <c r="U15" t="s">
        <v>137</v>
      </c>
      <c r="V15" t="s">
        <v>742</v>
      </c>
      <c r="W15" t="s">
        <v>743</v>
      </c>
      <c r="X15" t="s">
        <v>744</v>
      </c>
      <c r="Y15" t="s">
        <v>745</v>
      </c>
      <c r="Z15" t="s">
        <v>389</v>
      </c>
      <c r="AA15">
        <v>8.5</v>
      </c>
      <c r="AB15" t="s">
        <v>519</v>
      </c>
      <c r="AC15" t="s">
        <v>746</v>
      </c>
      <c r="AD15" t="s">
        <v>747</v>
      </c>
      <c r="AE15" s="18">
        <v>116.9</v>
      </c>
      <c r="AF15" s="32">
        <v>12.6</v>
      </c>
      <c r="AG15" s="32">
        <v>24.5</v>
      </c>
      <c r="AH15" s="32">
        <v>1.65</v>
      </c>
    </row>
    <row r="16" spans="1:52">
      <c r="A16" s="16" t="s">
        <v>98</v>
      </c>
      <c r="B16" s="27">
        <v>0.31805555555555554</v>
      </c>
      <c r="C16" s="14" t="s">
        <v>97</v>
      </c>
      <c r="D16" t="s">
        <v>428</v>
      </c>
      <c r="E16">
        <v>242</v>
      </c>
      <c r="F16" t="s">
        <v>131</v>
      </c>
      <c r="G16" t="s">
        <v>748</v>
      </c>
      <c r="H16" t="s">
        <v>229</v>
      </c>
      <c r="I16" t="s">
        <v>478</v>
      </c>
      <c r="J16" t="s">
        <v>749</v>
      </c>
      <c r="K16">
        <v>5.4</v>
      </c>
      <c r="L16" t="s">
        <v>131</v>
      </c>
      <c r="M16" t="s">
        <v>131</v>
      </c>
      <c r="N16" t="s">
        <v>750</v>
      </c>
      <c r="O16">
        <v>7.3860000000000001</v>
      </c>
      <c r="P16">
        <v>39.799999999999997</v>
      </c>
      <c r="Q16">
        <v>84.5</v>
      </c>
      <c r="R16" t="s">
        <v>339</v>
      </c>
      <c r="S16" t="s">
        <v>370</v>
      </c>
      <c r="T16" t="s">
        <v>751</v>
      </c>
      <c r="U16" t="s">
        <v>190</v>
      </c>
      <c r="V16" t="s">
        <v>752</v>
      </c>
      <c r="W16" t="s">
        <v>483</v>
      </c>
      <c r="X16" t="s">
        <v>753</v>
      </c>
      <c r="Y16" t="s">
        <v>754</v>
      </c>
      <c r="Z16" t="s">
        <v>646</v>
      </c>
      <c r="AA16">
        <v>7.8</v>
      </c>
      <c r="AB16" t="s">
        <v>335</v>
      </c>
      <c r="AC16" t="s">
        <v>755</v>
      </c>
      <c r="AD16" t="s">
        <v>756</v>
      </c>
      <c r="AE16" s="18">
        <v>119.6</v>
      </c>
      <c r="AF16" s="32">
        <v>9.4</v>
      </c>
      <c r="AG16" s="32"/>
      <c r="AH16" s="32">
        <v>4.2</v>
      </c>
    </row>
    <row r="17" spans="1:34">
      <c r="A17" s="16" t="s">
        <v>99</v>
      </c>
      <c r="B17" s="27">
        <v>0.32500000000000001</v>
      </c>
      <c r="C17" s="14" t="s">
        <v>97</v>
      </c>
      <c r="D17" t="s">
        <v>236</v>
      </c>
      <c r="E17">
        <v>217</v>
      </c>
      <c r="F17" t="s">
        <v>131</v>
      </c>
      <c r="G17" t="s">
        <v>757</v>
      </c>
      <c r="H17" t="s">
        <v>151</v>
      </c>
      <c r="I17" t="s">
        <v>758</v>
      </c>
      <c r="J17" t="s">
        <v>278</v>
      </c>
      <c r="K17">
        <v>6.4</v>
      </c>
      <c r="L17" t="s">
        <v>131</v>
      </c>
      <c r="M17" t="s">
        <v>131</v>
      </c>
      <c r="N17" t="s">
        <v>268</v>
      </c>
      <c r="O17">
        <v>7.3819999999999997</v>
      </c>
      <c r="P17">
        <v>38.299999999999997</v>
      </c>
      <c r="Q17">
        <v>96.1</v>
      </c>
      <c r="R17" t="s">
        <v>759</v>
      </c>
      <c r="S17" t="s">
        <v>370</v>
      </c>
      <c r="T17" t="s">
        <v>170</v>
      </c>
      <c r="U17" t="s">
        <v>190</v>
      </c>
      <c r="V17" t="s">
        <v>760</v>
      </c>
      <c r="W17" t="s">
        <v>761</v>
      </c>
      <c r="X17" t="s">
        <v>762</v>
      </c>
      <c r="Y17" t="s">
        <v>763</v>
      </c>
      <c r="Z17" t="s">
        <v>646</v>
      </c>
      <c r="AA17">
        <v>5.9</v>
      </c>
      <c r="AB17" t="s">
        <v>182</v>
      </c>
      <c r="AC17" t="s">
        <v>764</v>
      </c>
      <c r="AD17" t="s">
        <v>676</v>
      </c>
      <c r="AE17" s="18">
        <v>126.4</v>
      </c>
      <c r="AF17" s="32">
        <v>7.9</v>
      </c>
      <c r="AG17" s="32">
        <v>29.8</v>
      </c>
      <c r="AH17" s="32">
        <v>3.17</v>
      </c>
    </row>
    <row r="18" spans="1:34">
      <c r="A18" s="34" t="s">
        <v>126</v>
      </c>
      <c r="B18" s="27">
        <v>0.36666666666666664</v>
      </c>
      <c r="C18" s="14" t="s">
        <v>97</v>
      </c>
      <c r="D18" t="s">
        <v>218</v>
      </c>
      <c r="E18">
        <v>252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494</v>
      </c>
      <c r="O18">
        <v>7.4820000000000002</v>
      </c>
      <c r="P18">
        <v>33.1</v>
      </c>
      <c r="Q18">
        <v>91.5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127</v>
      </c>
      <c r="B19" s="27">
        <v>0.40833333333333333</v>
      </c>
      <c r="C19" s="14" t="s">
        <v>97</v>
      </c>
      <c r="D19" t="s">
        <v>300</v>
      </c>
      <c r="E19">
        <v>245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305</v>
      </c>
      <c r="O19">
        <v>7.4530000000000003</v>
      </c>
      <c r="P19">
        <v>34.4</v>
      </c>
      <c r="Q19">
        <v>84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100</v>
      </c>
      <c r="B20" s="27">
        <v>0.45</v>
      </c>
      <c r="C20" s="14" t="s">
        <v>97</v>
      </c>
      <c r="D20" t="s">
        <v>370</v>
      </c>
      <c r="E20">
        <v>241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646</v>
      </c>
      <c r="O20">
        <v>7.4690000000000003</v>
      </c>
      <c r="P20">
        <v>30.9</v>
      </c>
      <c r="Q20">
        <v>95.6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104</v>
      </c>
      <c r="B21" s="27" t="s">
        <v>765</v>
      </c>
      <c r="C21" s="14" t="s">
        <v>97</v>
      </c>
      <c r="D21" t="s">
        <v>411</v>
      </c>
      <c r="E21">
        <v>279</v>
      </c>
      <c r="F21" t="s">
        <v>131</v>
      </c>
      <c r="G21" t="s">
        <v>766</v>
      </c>
      <c r="H21" t="s">
        <v>208</v>
      </c>
      <c r="I21" t="s">
        <v>541</v>
      </c>
      <c r="J21" t="s">
        <v>767</v>
      </c>
      <c r="K21">
        <v>4.5999999999999996</v>
      </c>
      <c r="L21" t="s">
        <v>131</v>
      </c>
      <c r="M21" t="s">
        <v>131</v>
      </c>
      <c r="N21">
        <v>2.4</v>
      </c>
      <c r="O21">
        <v>7.48</v>
      </c>
      <c r="P21">
        <v>37.9</v>
      </c>
      <c r="Q21">
        <v>88.7</v>
      </c>
      <c r="R21" t="s">
        <v>706</v>
      </c>
      <c r="S21" t="s">
        <v>627</v>
      </c>
      <c r="T21" t="s">
        <v>768</v>
      </c>
      <c r="U21" t="s">
        <v>252</v>
      </c>
      <c r="V21" t="s">
        <v>769</v>
      </c>
      <c r="W21" t="s">
        <v>770</v>
      </c>
      <c r="X21" t="s">
        <v>771</v>
      </c>
      <c r="Y21" t="s">
        <v>772</v>
      </c>
      <c r="Z21" t="s">
        <v>381</v>
      </c>
      <c r="AB21" t="s">
        <v>131</v>
      </c>
      <c r="AC21" t="s">
        <v>131</v>
      </c>
      <c r="AD21" t="s">
        <v>131</v>
      </c>
      <c r="AE21" s="18">
        <v>128.19999999999999</v>
      </c>
      <c r="AF21" s="32">
        <v>9.6</v>
      </c>
      <c r="AG21" s="32">
        <v>17.7</v>
      </c>
      <c r="AH21" s="32">
        <v>5.91</v>
      </c>
    </row>
    <row r="22" spans="1:34">
      <c r="A22" s="16" t="s">
        <v>773</v>
      </c>
      <c r="B22" s="27">
        <v>0.49861111111111112</v>
      </c>
      <c r="C22" s="14" t="s">
        <v>97</v>
      </c>
      <c r="D22" t="s">
        <v>266</v>
      </c>
      <c r="E22">
        <v>266</v>
      </c>
      <c r="F22" t="s">
        <v>131</v>
      </c>
      <c r="G22">
        <v>4.2</v>
      </c>
      <c r="H22">
        <v>9</v>
      </c>
      <c r="I22">
        <v>26.7</v>
      </c>
      <c r="J22">
        <v>248</v>
      </c>
      <c r="K22">
        <v>4.4000000000000004</v>
      </c>
      <c r="L22" t="s">
        <v>131</v>
      </c>
      <c r="M22" t="s">
        <v>131</v>
      </c>
      <c r="N22">
        <v>2.2999999999999998</v>
      </c>
      <c r="O22">
        <v>7.4749999999999996</v>
      </c>
      <c r="P22">
        <v>38</v>
      </c>
      <c r="Q22">
        <v>92.5</v>
      </c>
      <c r="R22">
        <v>59</v>
      </c>
      <c r="S22">
        <v>76</v>
      </c>
      <c r="T22">
        <v>144</v>
      </c>
      <c r="U22" t="s">
        <v>252</v>
      </c>
      <c r="V22">
        <v>15.91</v>
      </c>
      <c r="W22">
        <v>299</v>
      </c>
      <c r="X22">
        <v>153.33000000000001</v>
      </c>
      <c r="Y22">
        <v>170</v>
      </c>
      <c r="Z22">
        <v>3</v>
      </c>
      <c r="AA22">
        <v>17.899999999999999</v>
      </c>
      <c r="AB22">
        <v>2.5</v>
      </c>
      <c r="AC22">
        <v>58.9</v>
      </c>
      <c r="AD22" t="s">
        <v>140</v>
      </c>
      <c r="AE22" s="9">
        <v>124.7</v>
      </c>
      <c r="AF22" s="9">
        <v>6.5</v>
      </c>
      <c r="AG22" s="32">
        <v>17.8</v>
      </c>
      <c r="AH22" s="32">
        <v>3.12</v>
      </c>
    </row>
    <row r="23" spans="1:34">
      <c r="A23" s="16" t="s">
        <v>105</v>
      </c>
      <c r="B23" s="27">
        <v>0.31805555555555554</v>
      </c>
      <c r="C23" s="14" t="s">
        <v>97</v>
      </c>
      <c r="D23" t="s">
        <v>501</v>
      </c>
      <c r="E23">
        <v>286</v>
      </c>
      <c r="F23" t="s">
        <v>131</v>
      </c>
      <c r="G23" t="s">
        <v>774</v>
      </c>
      <c r="H23" t="s">
        <v>775</v>
      </c>
      <c r="I23" t="s">
        <v>662</v>
      </c>
      <c r="J23" t="s">
        <v>743</v>
      </c>
      <c r="K23">
        <v>5.3</v>
      </c>
      <c r="L23" t="s">
        <v>131</v>
      </c>
      <c r="M23" t="s">
        <v>131</v>
      </c>
      <c r="N23" t="s">
        <v>182</v>
      </c>
      <c r="O23">
        <v>7.4859999999999998</v>
      </c>
      <c r="P23">
        <v>40.299999999999997</v>
      </c>
      <c r="Q23">
        <v>79.8</v>
      </c>
      <c r="R23" t="s">
        <v>338</v>
      </c>
      <c r="S23" t="s">
        <v>776</v>
      </c>
      <c r="T23" t="s">
        <v>282</v>
      </c>
      <c r="U23" t="s">
        <v>230</v>
      </c>
      <c r="V23" t="s">
        <v>777</v>
      </c>
      <c r="W23" t="s">
        <v>718</v>
      </c>
      <c r="X23" t="s">
        <v>778</v>
      </c>
      <c r="Y23" t="s">
        <v>779</v>
      </c>
      <c r="Z23" t="s">
        <v>389</v>
      </c>
      <c r="AA23">
        <v>9.3000000000000007</v>
      </c>
      <c r="AB23" t="s">
        <v>214</v>
      </c>
      <c r="AC23" t="s">
        <v>780</v>
      </c>
      <c r="AD23" t="s">
        <v>781</v>
      </c>
      <c r="AE23" s="9">
        <v>125.9</v>
      </c>
      <c r="AF23" s="9">
        <v>8.8000000000000007</v>
      </c>
      <c r="AG23" s="32">
        <v>56</v>
      </c>
      <c r="AH23" s="32">
        <v>6.55</v>
      </c>
    </row>
    <row r="24" spans="1:34">
      <c r="A24" s="16" t="s">
        <v>106</v>
      </c>
      <c r="B24" s="27"/>
      <c r="C24" s="14" t="s">
        <v>97</v>
      </c>
      <c r="D24" t="s">
        <v>131</v>
      </c>
      <c r="E24" t="s">
        <v>131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131</v>
      </c>
      <c r="W24" t="s">
        <v>131</v>
      </c>
      <c r="X24" t="s">
        <v>131</v>
      </c>
      <c r="Y24" t="s">
        <v>131</v>
      </c>
      <c r="Z24" t="s">
        <v>131</v>
      </c>
      <c r="AA24" t="s">
        <v>131</v>
      </c>
      <c r="AB24" t="s">
        <v>131</v>
      </c>
      <c r="AC24" t="s">
        <v>131</v>
      </c>
      <c r="AD24" t="s">
        <v>131</v>
      </c>
      <c r="AE24" s="9"/>
      <c r="AF24" s="9"/>
      <c r="AG24" s="32"/>
      <c r="AH24" s="32"/>
    </row>
    <row r="25" spans="1:34">
      <c r="A25" s="7"/>
      <c r="B25" s="33"/>
      <c r="C25" s="33"/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9"/>
    </row>
    <row r="26" spans="1:34">
      <c r="A26" s="7"/>
      <c r="B26" s="33"/>
      <c r="C26" s="33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E5592E76-D48F-4A24-B3AA-EF8EAFAD0CFB}">
      <formula1>"incomplete, COMPLETED"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A332-C0F5-45F1-BBB9-2DAD386B23CF}">
  <dimension ref="A1:AZ28"/>
  <sheetViews>
    <sheetView workbookViewId="0">
      <selection sqref="A1:F2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782</v>
      </c>
      <c r="C4" s="53"/>
      <c r="D4" s="5"/>
      <c r="E4" s="4" t="s">
        <v>4</v>
      </c>
      <c r="F4" s="54"/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/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/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/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/>
      <c r="C15" s="14" t="s">
        <v>97</v>
      </c>
      <c r="D15" t="s">
        <v>501</v>
      </c>
      <c r="E15" t="s">
        <v>131</v>
      </c>
      <c r="F15" t="s">
        <v>131</v>
      </c>
      <c r="G15" t="s">
        <v>783</v>
      </c>
      <c r="H15" t="s">
        <v>784</v>
      </c>
      <c r="I15" t="s">
        <v>759</v>
      </c>
      <c r="J15" t="s">
        <v>785</v>
      </c>
      <c r="K15" t="s">
        <v>131</v>
      </c>
      <c r="L15" t="s">
        <v>131</v>
      </c>
      <c r="M15" t="s">
        <v>131</v>
      </c>
      <c r="N15" t="s">
        <v>137</v>
      </c>
      <c r="O15" t="s">
        <v>131</v>
      </c>
      <c r="P15" t="s">
        <v>131</v>
      </c>
      <c r="Q15" t="s">
        <v>131</v>
      </c>
      <c r="R15" t="s">
        <v>786</v>
      </c>
      <c r="S15" t="s">
        <v>161</v>
      </c>
      <c r="T15" t="s">
        <v>315</v>
      </c>
      <c r="U15" t="s">
        <v>190</v>
      </c>
      <c r="V15" t="s">
        <v>787</v>
      </c>
      <c r="W15" t="s">
        <v>788</v>
      </c>
      <c r="X15" t="s">
        <v>789</v>
      </c>
      <c r="Y15" t="s">
        <v>790</v>
      </c>
      <c r="Z15" t="s">
        <v>494</v>
      </c>
      <c r="AA15" t="s">
        <v>131</v>
      </c>
      <c r="AB15" t="s">
        <v>335</v>
      </c>
      <c r="AC15" t="s">
        <v>791</v>
      </c>
      <c r="AD15" t="s">
        <v>243</v>
      </c>
      <c r="AE15" s="18"/>
      <c r="AF15" s="32"/>
      <c r="AG15" s="32"/>
      <c r="AH15" s="32"/>
    </row>
    <row r="16" spans="1:52">
      <c r="A16" s="16" t="s">
        <v>98</v>
      </c>
      <c r="B16" s="27"/>
      <c r="C16" s="14" t="s">
        <v>97</v>
      </c>
      <c r="D16" t="s">
        <v>415</v>
      </c>
      <c r="E16" t="s">
        <v>131</v>
      </c>
      <c r="F16" t="s">
        <v>131</v>
      </c>
      <c r="G16" t="s">
        <v>792</v>
      </c>
      <c r="H16" t="s">
        <v>281</v>
      </c>
      <c r="I16" t="s">
        <v>793</v>
      </c>
      <c r="J16" t="s">
        <v>579</v>
      </c>
      <c r="K16" t="s">
        <v>131</v>
      </c>
      <c r="L16" t="s">
        <v>131</v>
      </c>
      <c r="M16" t="s">
        <v>131</v>
      </c>
      <c r="N16" t="s">
        <v>530</v>
      </c>
      <c r="O16" t="s">
        <v>131</v>
      </c>
      <c r="P16" t="s">
        <v>131</v>
      </c>
      <c r="Q16" t="s">
        <v>131</v>
      </c>
      <c r="R16" t="s">
        <v>794</v>
      </c>
      <c r="S16" t="s">
        <v>339</v>
      </c>
      <c r="T16" t="s">
        <v>665</v>
      </c>
      <c r="U16" t="s">
        <v>335</v>
      </c>
      <c r="V16" t="s">
        <v>795</v>
      </c>
      <c r="W16" t="s">
        <v>796</v>
      </c>
      <c r="X16" t="s">
        <v>797</v>
      </c>
      <c r="Y16" t="s">
        <v>798</v>
      </c>
      <c r="Z16" t="s">
        <v>646</v>
      </c>
      <c r="AA16" t="s">
        <v>131</v>
      </c>
      <c r="AB16" t="s">
        <v>214</v>
      </c>
      <c r="AC16" t="s">
        <v>799</v>
      </c>
      <c r="AD16" t="s">
        <v>800</v>
      </c>
      <c r="AE16" s="18"/>
      <c r="AF16" s="32"/>
      <c r="AG16" s="32"/>
      <c r="AH16" s="32"/>
    </row>
    <row r="17" spans="1:34">
      <c r="A17" s="16" t="s">
        <v>99</v>
      </c>
      <c r="B17" s="27"/>
      <c r="C17" s="14" t="s">
        <v>97</v>
      </c>
      <c r="D17" t="s">
        <v>415</v>
      </c>
      <c r="E17" t="s">
        <v>131</v>
      </c>
      <c r="F17" t="s">
        <v>131</v>
      </c>
      <c r="G17" t="s">
        <v>801</v>
      </c>
      <c r="H17" t="s">
        <v>176</v>
      </c>
      <c r="I17" t="s">
        <v>802</v>
      </c>
      <c r="J17" t="s">
        <v>803</v>
      </c>
      <c r="K17" t="s">
        <v>131</v>
      </c>
      <c r="L17" t="s">
        <v>131</v>
      </c>
      <c r="M17" t="s">
        <v>131</v>
      </c>
      <c r="N17" t="s">
        <v>775</v>
      </c>
      <c r="O17" t="s">
        <v>131</v>
      </c>
      <c r="P17" t="s">
        <v>131</v>
      </c>
      <c r="Q17" t="s">
        <v>131</v>
      </c>
      <c r="R17" t="s">
        <v>804</v>
      </c>
      <c r="S17" t="s">
        <v>394</v>
      </c>
      <c r="T17" t="s">
        <v>278</v>
      </c>
      <c r="U17" t="s">
        <v>186</v>
      </c>
      <c r="V17" t="s">
        <v>805</v>
      </c>
      <c r="W17" t="s">
        <v>806</v>
      </c>
      <c r="X17" t="s">
        <v>807</v>
      </c>
      <c r="Y17" t="s">
        <v>808</v>
      </c>
      <c r="Z17" t="s">
        <v>646</v>
      </c>
      <c r="AA17" t="s">
        <v>131</v>
      </c>
      <c r="AB17" t="s">
        <v>595</v>
      </c>
      <c r="AC17" t="s">
        <v>809</v>
      </c>
      <c r="AD17" t="s">
        <v>755</v>
      </c>
      <c r="AE17" s="18"/>
      <c r="AF17" s="32"/>
      <c r="AG17" s="32"/>
      <c r="AH17" s="32"/>
    </row>
    <row r="18" spans="1:34">
      <c r="A18" s="34" t="s">
        <v>100</v>
      </c>
      <c r="B18" s="27"/>
      <c r="C18" s="14" t="s">
        <v>97</v>
      </c>
      <c r="D18" t="s">
        <v>168</v>
      </c>
      <c r="E18" t="s">
        <v>131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178</v>
      </c>
      <c r="O18" t="s">
        <v>131</v>
      </c>
      <c r="P18" t="s">
        <v>131</v>
      </c>
      <c r="Q18" t="s">
        <v>131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101</v>
      </c>
      <c r="B19" s="27"/>
      <c r="C19" s="14" t="s">
        <v>97</v>
      </c>
      <c r="D19" t="s">
        <v>217</v>
      </c>
      <c r="E19" t="s">
        <v>131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182</v>
      </c>
      <c r="O19" t="s">
        <v>131</v>
      </c>
      <c r="P19" t="s">
        <v>131</v>
      </c>
      <c r="Q19" t="s">
        <v>131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102</v>
      </c>
      <c r="B20" s="27"/>
      <c r="C20" s="14" t="s">
        <v>97</v>
      </c>
      <c r="D20" t="s">
        <v>141</v>
      </c>
      <c r="E20" t="s">
        <v>131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171</v>
      </c>
      <c r="O20" t="s">
        <v>131</v>
      </c>
      <c r="P20" t="s">
        <v>131</v>
      </c>
      <c r="Q20" t="s">
        <v>131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103</v>
      </c>
      <c r="B21" s="27"/>
      <c r="C21" s="14" t="s">
        <v>97</v>
      </c>
      <c r="D21" t="s">
        <v>676</v>
      </c>
      <c r="E21" t="s">
        <v>131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s="18"/>
      <c r="AF21" s="32"/>
      <c r="AG21" s="32"/>
      <c r="AH21" s="32"/>
    </row>
    <row r="22" spans="1:34">
      <c r="A22" s="16" t="s">
        <v>104</v>
      </c>
      <c r="B22" s="27"/>
      <c r="C22" s="14" t="s">
        <v>97</v>
      </c>
      <c r="D22" t="s">
        <v>794</v>
      </c>
      <c r="E22" t="s">
        <v>131</v>
      </c>
      <c r="F22" t="s">
        <v>131</v>
      </c>
      <c r="G22" t="s">
        <v>810</v>
      </c>
      <c r="H22" t="s">
        <v>176</v>
      </c>
      <c r="I22" t="s">
        <v>811</v>
      </c>
      <c r="J22" t="s">
        <v>728</v>
      </c>
      <c r="K22" t="s">
        <v>131</v>
      </c>
      <c r="L22" t="s">
        <v>131</v>
      </c>
      <c r="M22" t="s">
        <v>131</v>
      </c>
      <c r="N22" t="s">
        <v>190</v>
      </c>
      <c r="O22" t="s">
        <v>131</v>
      </c>
      <c r="P22" t="s">
        <v>131</v>
      </c>
      <c r="Q22" t="s">
        <v>131</v>
      </c>
      <c r="R22" t="s">
        <v>812</v>
      </c>
      <c r="S22" t="s">
        <v>415</v>
      </c>
      <c r="T22" t="s">
        <v>693</v>
      </c>
      <c r="U22" t="s">
        <v>190</v>
      </c>
      <c r="V22" t="s">
        <v>813</v>
      </c>
      <c r="W22" t="s">
        <v>814</v>
      </c>
      <c r="X22" t="s">
        <v>815</v>
      </c>
      <c r="Y22" t="s">
        <v>816</v>
      </c>
      <c r="Z22" t="s">
        <v>646</v>
      </c>
      <c r="AA22" t="s">
        <v>131</v>
      </c>
      <c r="AB22" t="s">
        <v>131</v>
      </c>
      <c r="AC22" t="s">
        <v>131</v>
      </c>
      <c r="AD22" t="s">
        <v>817</v>
      </c>
      <c r="AE22" s="9"/>
      <c r="AF22" s="9"/>
      <c r="AG22" s="32"/>
      <c r="AH22" s="32"/>
    </row>
    <row r="23" spans="1:34">
      <c r="A23" s="16" t="s">
        <v>105</v>
      </c>
      <c r="B23" s="27"/>
      <c r="C23" s="14" t="s">
        <v>97</v>
      </c>
      <c r="D23" t="s">
        <v>415</v>
      </c>
      <c r="E23" t="s">
        <v>131</v>
      </c>
      <c r="F23" t="s">
        <v>131</v>
      </c>
      <c r="G23" t="s">
        <v>818</v>
      </c>
      <c r="H23" t="s">
        <v>556</v>
      </c>
      <c r="I23" t="s">
        <v>408</v>
      </c>
      <c r="J23" t="s">
        <v>461</v>
      </c>
      <c r="K23" t="s">
        <v>131</v>
      </c>
      <c r="L23" t="s">
        <v>131</v>
      </c>
      <c r="M23" t="s">
        <v>131</v>
      </c>
      <c r="N23" t="s">
        <v>519</v>
      </c>
      <c r="O23" t="s">
        <v>131</v>
      </c>
      <c r="P23" t="s">
        <v>131</v>
      </c>
      <c r="Q23" t="s">
        <v>131</v>
      </c>
      <c r="R23" t="s">
        <v>256</v>
      </c>
      <c r="S23" t="s">
        <v>309</v>
      </c>
      <c r="T23" t="s">
        <v>715</v>
      </c>
      <c r="U23" t="s">
        <v>137</v>
      </c>
      <c r="V23" t="s">
        <v>819</v>
      </c>
      <c r="W23" t="s">
        <v>656</v>
      </c>
      <c r="X23" t="s">
        <v>820</v>
      </c>
      <c r="Y23" t="s">
        <v>821</v>
      </c>
      <c r="Z23" t="s">
        <v>646</v>
      </c>
      <c r="AA23" t="s">
        <v>131</v>
      </c>
      <c r="AB23" t="s">
        <v>519</v>
      </c>
      <c r="AC23" t="s">
        <v>822</v>
      </c>
      <c r="AD23" t="s">
        <v>823</v>
      </c>
      <c r="AE23" s="9"/>
      <c r="AF23" s="9"/>
      <c r="AG23" s="32"/>
      <c r="AH23" s="32"/>
    </row>
    <row r="24" spans="1:34">
      <c r="A24" s="16" t="s">
        <v>106</v>
      </c>
      <c r="B24" s="27"/>
      <c r="C24" s="14" t="s">
        <v>97</v>
      </c>
      <c r="D24" t="s">
        <v>131</v>
      </c>
      <c r="E24" t="s">
        <v>131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131</v>
      </c>
      <c r="W24" t="s">
        <v>131</v>
      </c>
      <c r="X24" t="s">
        <v>131</v>
      </c>
      <c r="Y24" t="s">
        <v>131</v>
      </c>
      <c r="Z24" t="s">
        <v>131</v>
      </c>
      <c r="AA24" t="s">
        <v>131</v>
      </c>
      <c r="AB24" t="s">
        <v>131</v>
      </c>
      <c r="AC24" t="s">
        <v>131</v>
      </c>
      <c r="AD24" t="s">
        <v>131</v>
      </c>
      <c r="AE24" s="9"/>
      <c r="AF24" s="9"/>
      <c r="AG24" s="32"/>
      <c r="AH24" s="32"/>
    </row>
    <row r="25" spans="1:34">
      <c r="A25" s="16" t="s">
        <v>107</v>
      </c>
      <c r="B25" s="27"/>
      <c r="C25" s="14" t="s">
        <v>97</v>
      </c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32"/>
      <c r="AH25" s="32"/>
    </row>
    <row r="26" spans="1:34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  <row r="28" spans="1:34">
      <c r="A28" s="7"/>
      <c r="B28" s="33"/>
      <c r="C28" s="33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E5506B8-FBA0-4AF9-A0B3-7AF6FD36246D}">
      <formula1>"incomplete, COMPLETED"</formula1>
    </dataValidation>
  </dataValidation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857E-5A94-4D38-956F-85215A99DA42}">
  <dimension ref="A1:AZ28"/>
  <sheetViews>
    <sheetView workbookViewId="0">
      <selection sqref="A1:F2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824</v>
      </c>
      <c r="C4" s="53"/>
      <c r="D4" s="5"/>
      <c r="E4" s="4" t="s">
        <v>4</v>
      </c>
      <c r="F4" s="54"/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/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/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/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/>
      <c r="C15" s="14" t="s">
        <v>97</v>
      </c>
      <c r="D15" t="s">
        <v>309</v>
      </c>
      <c r="E15" t="s">
        <v>131</v>
      </c>
      <c r="F15" t="s">
        <v>131</v>
      </c>
      <c r="G15" t="s">
        <v>825</v>
      </c>
      <c r="H15" t="s">
        <v>826</v>
      </c>
      <c r="I15" t="s">
        <v>827</v>
      </c>
      <c r="J15" t="s">
        <v>828</v>
      </c>
      <c r="K15" t="s">
        <v>131</v>
      </c>
      <c r="L15" t="s">
        <v>131</v>
      </c>
      <c r="M15" t="s">
        <v>131</v>
      </c>
      <c r="N15" t="s">
        <v>296</v>
      </c>
      <c r="O15" t="s">
        <v>131</v>
      </c>
      <c r="P15" t="s">
        <v>131</v>
      </c>
      <c r="Q15" t="s">
        <v>131</v>
      </c>
      <c r="R15" t="s">
        <v>338</v>
      </c>
      <c r="S15" t="s">
        <v>286</v>
      </c>
      <c r="T15" t="s">
        <v>131</v>
      </c>
      <c r="U15" t="s">
        <v>829</v>
      </c>
      <c r="V15" t="s">
        <v>190</v>
      </c>
      <c r="W15" t="s">
        <v>830</v>
      </c>
      <c r="X15" t="s">
        <v>831</v>
      </c>
      <c r="Y15" t="s">
        <v>646</v>
      </c>
      <c r="Z15" t="s">
        <v>832</v>
      </c>
      <c r="AA15" t="s">
        <v>131</v>
      </c>
      <c r="AB15" t="s">
        <v>131</v>
      </c>
      <c r="AC15" t="s">
        <v>131</v>
      </c>
      <c r="AD15" t="s">
        <v>131</v>
      </c>
      <c r="AE15" s="18"/>
      <c r="AF15" s="32"/>
      <c r="AG15" s="32"/>
      <c r="AH15" s="32"/>
    </row>
    <row r="16" spans="1:52">
      <c r="A16" s="16" t="s">
        <v>98</v>
      </c>
      <c r="B16" s="27"/>
      <c r="C16" s="14" t="s">
        <v>97</v>
      </c>
      <c r="D16" t="s">
        <v>339</v>
      </c>
      <c r="E16" t="s">
        <v>131</v>
      </c>
      <c r="F16" t="s">
        <v>131</v>
      </c>
      <c r="G16" t="s">
        <v>833</v>
      </c>
      <c r="H16" t="s">
        <v>834</v>
      </c>
      <c r="I16" t="s">
        <v>835</v>
      </c>
      <c r="J16" t="s">
        <v>836</v>
      </c>
      <c r="K16" t="s">
        <v>131</v>
      </c>
      <c r="L16" t="s">
        <v>131</v>
      </c>
      <c r="M16" t="s">
        <v>131</v>
      </c>
      <c r="N16" t="s">
        <v>837</v>
      </c>
      <c r="O16" t="s">
        <v>131</v>
      </c>
      <c r="P16" t="s">
        <v>131</v>
      </c>
      <c r="Q16" t="s">
        <v>131</v>
      </c>
      <c r="R16" t="s">
        <v>251</v>
      </c>
      <c r="S16" t="s">
        <v>838</v>
      </c>
      <c r="T16" t="s">
        <v>395</v>
      </c>
      <c r="U16" t="s">
        <v>171</v>
      </c>
      <c r="V16" t="s">
        <v>839</v>
      </c>
      <c r="W16" t="s">
        <v>840</v>
      </c>
      <c r="X16" t="s">
        <v>841</v>
      </c>
      <c r="Y16" t="s">
        <v>842</v>
      </c>
      <c r="Z16" t="s">
        <v>494</v>
      </c>
      <c r="AA16" t="s">
        <v>131</v>
      </c>
      <c r="AB16" t="s">
        <v>171</v>
      </c>
      <c r="AC16" t="s">
        <v>843</v>
      </c>
      <c r="AD16" t="s">
        <v>712</v>
      </c>
      <c r="AE16" s="18"/>
      <c r="AF16" s="32"/>
      <c r="AG16" s="32"/>
      <c r="AH16" s="32"/>
    </row>
    <row r="17" spans="1:34">
      <c r="A17" s="16" t="s">
        <v>99</v>
      </c>
      <c r="B17" s="27"/>
      <c r="C17" s="14" t="s">
        <v>97</v>
      </c>
      <c r="D17" t="s">
        <v>501</v>
      </c>
      <c r="E17" t="s">
        <v>131</v>
      </c>
      <c r="F17" t="s">
        <v>131</v>
      </c>
      <c r="G17" t="s">
        <v>844</v>
      </c>
      <c r="H17" t="s">
        <v>270</v>
      </c>
      <c r="I17" t="s">
        <v>269</v>
      </c>
      <c r="J17" t="s">
        <v>845</v>
      </c>
      <c r="K17" t="s">
        <v>131</v>
      </c>
      <c r="L17" t="s">
        <v>131</v>
      </c>
      <c r="M17" t="s">
        <v>131</v>
      </c>
      <c r="N17" t="s">
        <v>846</v>
      </c>
      <c r="O17" t="s">
        <v>131</v>
      </c>
      <c r="P17" t="s">
        <v>131</v>
      </c>
      <c r="Q17" t="s">
        <v>131</v>
      </c>
      <c r="R17" t="s">
        <v>847</v>
      </c>
      <c r="S17" t="s">
        <v>573</v>
      </c>
      <c r="T17" t="s">
        <v>831</v>
      </c>
      <c r="U17" t="s">
        <v>214</v>
      </c>
      <c r="V17" t="s">
        <v>848</v>
      </c>
      <c r="W17" t="s">
        <v>849</v>
      </c>
      <c r="X17" t="s">
        <v>850</v>
      </c>
      <c r="Y17" t="s">
        <v>851</v>
      </c>
      <c r="Z17" t="s">
        <v>646</v>
      </c>
      <c r="AA17" t="s">
        <v>131</v>
      </c>
      <c r="AB17" t="s">
        <v>321</v>
      </c>
      <c r="AC17" t="s">
        <v>852</v>
      </c>
      <c r="AD17" t="s">
        <v>853</v>
      </c>
      <c r="AE17" s="18"/>
      <c r="AF17" s="32"/>
      <c r="AG17" s="32"/>
      <c r="AH17" s="32"/>
    </row>
    <row r="18" spans="1:34">
      <c r="A18" s="34" t="s">
        <v>100</v>
      </c>
      <c r="B18" s="27"/>
      <c r="C18" s="14" t="s">
        <v>97</v>
      </c>
      <c r="D18" t="s">
        <v>168</v>
      </c>
      <c r="E18" t="s">
        <v>131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532</v>
      </c>
      <c r="O18" t="s">
        <v>131</v>
      </c>
      <c r="P18" t="s">
        <v>131</v>
      </c>
      <c r="Q18" t="s">
        <v>131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101</v>
      </c>
      <c r="B19" s="27"/>
      <c r="C19" s="14" t="s">
        <v>97</v>
      </c>
      <c r="D19" t="s">
        <v>217</v>
      </c>
      <c r="E19" t="s">
        <v>131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589</v>
      </c>
      <c r="O19" t="s">
        <v>131</v>
      </c>
      <c r="P19" t="s">
        <v>131</v>
      </c>
      <c r="Q19" t="s">
        <v>131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102</v>
      </c>
      <c r="B20" s="27"/>
      <c r="C20" s="14" t="s">
        <v>97</v>
      </c>
      <c r="D20" t="s">
        <v>371</v>
      </c>
      <c r="E20" t="s">
        <v>131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 t="s">
        <v>214</v>
      </c>
      <c r="O20" t="s">
        <v>131</v>
      </c>
      <c r="P20" t="s">
        <v>131</v>
      </c>
      <c r="Q20" t="s">
        <v>131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103</v>
      </c>
      <c r="B21" s="27"/>
      <c r="C21" s="14" t="s">
        <v>97</v>
      </c>
      <c r="D21" t="s">
        <v>776</v>
      </c>
      <c r="E21" t="s">
        <v>131</v>
      </c>
      <c r="F21" t="s">
        <v>131</v>
      </c>
      <c r="G21" t="s">
        <v>131</v>
      </c>
      <c r="H21" t="s">
        <v>131</v>
      </c>
      <c r="I21" t="s">
        <v>131</v>
      </c>
      <c r="J21" t="s">
        <v>131</v>
      </c>
      <c r="K21" t="s">
        <v>131</v>
      </c>
      <c r="L21" t="s">
        <v>131</v>
      </c>
      <c r="M21" t="s">
        <v>131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s="18"/>
      <c r="AF21" s="32"/>
      <c r="AG21" s="32"/>
      <c r="AH21" s="32"/>
    </row>
    <row r="22" spans="1:34">
      <c r="A22" s="16" t="s">
        <v>104</v>
      </c>
      <c r="B22" s="27"/>
      <c r="C22" s="14" t="s">
        <v>97</v>
      </c>
      <c r="D22" t="s">
        <v>854</v>
      </c>
      <c r="E22" t="s">
        <v>131</v>
      </c>
      <c r="F22" t="s">
        <v>131</v>
      </c>
      <c r="G22" t="s">
        <v>855</v>
      </c>
      <c r="H22" t="s">
        <v>386</v>
      </c>
      <c r="I22" t="s">
        <v>856</v>
      </c>
      <c r="J22" t="s">
        <v>260</v>
      </c>
      <c r="K22" t="s">
        <v>131</v>
      </c>
      <c r="L22" t="s">
        <v>131</v>
      </c>
      <c r="M22" t="s">
        <v>131</v>
      </c>
      <c r="N22" t="s">
        <v>699</v>
      </c>
      <c r="O22" t="s">
        <v>131</v>
      </c>
      <c r="P22" t="s">
        <v>131</v>
      </c>
      <c r="Q22" t="s">
        <v>131</v>
      </c>
      <c r="R22" t="s">
        <v>857</v>
      </c>
      <c r="S22" t="s">
        <v>858</v>
      </c>
      <c r="T22" t="s">
        <v>859</v>
      </c>
      <c r="U22" t="s">
        <v>182</v>
      </c>
      <c r="V22" t="s">
        <v>860</v>
      </c>
      <c r="W22" t="s">
        <v>861</v>
      </c>
      <c r="X22" t="s">
        <v>862</v>
      </c>
      <c r="Y22" t="s">
        <v>863</v>
      </c>
      <c r="Z22" t="s">
        <v>494</v>
      </c>
      <c r="AA22" t="s">
        <v>131</v>
      </c>
      <c r="AB22" t="s">
        <v>131</v>
      </c>
      <c r="AC22" t="s">
        <v>131</v>
      </c>
      <c r="AD22" t="s">
        <v>576</v>
      </c>
      <c r="AE22" s="9"/>
      <c r="AF22" s="9"/>
      <c r="AG22" s="32"/>
      <c r="AH22" s="32"/>
    </row>
    <row r="23" spans="1:34">
      <c r="A23" s="16" t="s">
        <v>105</v>
      </c>
      <c r="B23" s="27"/>
      <c r="C23" s="14" t="s">
        <v>97</v>
      </c>
      <c r="D23" t="s">
        <v>243</v>
      </c>
      <c r="E23" t="s">
        <v>131</v>
      </c>
      <c r="F23" t="s">
        <v>131</v>
      </c>
      <c r="G23" t="s">
        <v>864</v>
      </c>
      <c r="H23" t="s">
        <v>865</v>
      </c>
      <c r="I23" t="s">
        <v>139</v>
      </c>
      <c r="J23" t="s">
        <v>866</v>
      </c>
      <c r="K23" t="s">
        <v>131</v>
      </c>
      <c r="L23" t="s">
        <v>131</v>
      </c>
      <c r="M23" t="s">
        <v>131</v>
      </c>
      <c r="N23" t="s">
        <v>186</v>
      </c>
      <c r="O23" t="s">
        <v>131</v>
      </c>
      <c r="P23" t="s">
        <v>131</v>
      </c>
      <c r="Q23" t="s">
        <v>131</v>
      </c>
      <c r="R23" t="s">
        <v>867</v>
      </c>
      <c r="S23" t="s">
        <v>829</v>
      </c>
      <c r="T23" t="s">
        <v>868</v>
      </c>
      <c r="U23" t="s">
        <v>559</v>
      </c>
      <c r="V23" t="s">
        <v>869</v>
      </c>
      <c r="W23" t="s">
        <v>840</v>
      </c>
      <c r="X23" t="s">
        <v>870</v>
      </c>
      <c r="Y23" t="s">
        <v>871</v>
      </c>
      <c r="Z23" t="s">
        <v>646</v>
      </c>
      <c r="AA23" t="s">
        <v>131</v>
      </c>
      <c r="AB23" t="s">
        <v>664</v>
      </c>
      <c r="AC23" t="s">
        <v>872</v>
      </c>
      <c r="AD23" t="s">
        <v>873</v>
      </c>
      <c r="AE23" s="9"/>
      <c r="AF23" s="9"/>
      <c r="AG23" s="32"/>
      <c r="AH23" s="32"/>
    </row>
    <row r="24" spans="1:34">
      <c r="A24" s="16" t="s">
        <v>106</v>
      </c>
      <c r="B24" s="27"/>
      <c r="C24" s="14" t="s">
        <v>97</v>
      </c>
      <c r="D24" t="s">
        <v>131</v>
      </c>
      <c r="E24" t="s">
        <v>131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131</v>
      </c>
      <c r="T24" t="s">
        <v>131</v>
      </c>
      <c r="U24" t="s">
        <v>131</v>
      </c>
      <c r="V24" t="s">
        <v>131</v>
      </c>
      <c r="W24" t="s">
        <v>131</v>
      </c>
      <c r="X24" t="s">
        <v>131</v>
      </c>
      <c r="Y24" t="s">
        <v>131</v>
      </c>
      <c r="Z24" t="s">
        <v>131</v>
      </c>
      <c r="AA24" t="s">
        <v>131</v>
      </c>
      <c r="AB24" t="s">
        <v>699</v>
      </c>
      <c r="AC24" t="s">
        <v>874</v>
      </c>
      <c r="AD24" t="s">
        <v>875</v>
      </c>
      <c r="AE24" s="9"/>
      <c r="AF24" s="9"/>
      <c r="AG24" s="32"/>
      <c r="AH24" s="32"/>
    </row>
    <row r="25" spans="1:34">
      <c r="A25" s="16" t="s">
        <v>107</v>
      </c>
      <c r="B25" s="27"/>
      <c r="C25" s="14" t="s">
        <v>97</v>
      </c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32"/>
      <c r="AH25" s="32"/>
    </row>
    <row r="26" spans="1:34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C8775C2-18D9-40FC-8DC4-DB64BBC8CC0C}">
      <formula1>"incomplete, COMPLETED"</formula1>
    </dataValidation>
  </dataValidation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47EB-0842-4E9E-AD8E-0E8F01784443}">
  <dimension ref="A1:AZ27"/>
  <sheetViews>
    <sheetView workbookViewId="0">
      <selection activeCell="L27" sqref="L2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876</v>
      </c>
      <c r="C4" s="53"/>
      <c r="D4" s="5"/>
      <c r="E4" s="4" t="s">
        <v>4</v>
      </c>
      <c r="F4" s="54" t="s">
        <v>5</v>
      </c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>
        <v>1.85</v>
      </c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>
        <v>45269</v>
      </c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>
        <v>58.2</v>
      </c>
      <c r="C7" s="37">
        <v>0.45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>
        <v>58.2</v>
      </c>
      <c r="C8" s="38">
        <v>0.45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>
        <v>8535</v>
      </c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>
      <c r="A15" s="26" t="s">
        <v>96</v>
      </c>
      <c r="B15" s="27">
        <v>0.28125</v>
      </c>
      <c r="C15" s="14" t="s">
        <v>97</v>
      </c>
      <c r="D15">
        <v>75</v>
      </c>
      <c r="E15">
        <v>295</v>
      </c>
      <c r="G15" t="s">
        <v>877</v>
      </c>
      <c r="H15" t="s">
        <v>878</v>
      </c>
      <c r="I15" t="s">
        <v>879</v>
      </c>
      <c r="J15" t="s">
        <v>880</v>
      </c>
      <c r="K15">
        <v>3.3</v>
      </c>
      <c r="N15">
        <v>1.2</v>
      </c>
      <c r="O15">
        <v>7.4569999999999999</v>
      </c>
      <c r="P15">
        <v>37.200000000000003</v>
      </c>
      <c r="Q15">
        <v>80</v>
      </c>
      <c r="R15">
        <v>14</v>
      </c>
      <c r="S15">
        <v>32</v>
      </c>
      <c r="T15">
        <v>89</v>
      </c>
      <c r="U15">
        <v>0.8</v>
      </c>
      <c r="V15">
        <v>13.92</v>
      </c>
      <c r="W15">
        <v>302</v>
      </c>
      <c r="X15">
        <v>114.92</v>
      </c>
      <c r="Y15">
        <v>149.13999999999999</v>
      </c>
      <c r="Z15">
        <v>6</v>
      </c>
      <c r="AA15">
        <v>7.7</v>
      </c>
      <c r="AB15" t="s">
        <v>186</v>
      </c>
      <c r="AC15" t="s">
        <v>881</v>
      </c>
      <c r="AD15" t="s">
        <v>700</v>
      </c>
      <c r="AE15" s="18">
        <v>10.3</v>
      </c>
      <c r="AF15" s="32">
        <v>15.9</v>
      </c>
      <c r="AG15" s="32">
        <v>27.2</v>
      </c>
      <c r="AH15" s="32">
        <v>2.11</v>
      </c>
    </row>
    <row r="16" spans="1:52">
      <c r="A16" s="16" t="s">
        <v>98</v>
      </c>
      <c r="B16" s="27">
        <v>0.3923611111111111</v>
      </c>
      <c r="C16" s="14" t="s">
        <v>97</v>
      </c>
      <c r="D16">
        <v>43</v>
      </c>
      <c r="E16">
        <v>177</v>
      </c>
      <c r="F16" t="s">
        <v>131</v>
      </c>
      <c r="G16" t="s">
        <v>864</v>
      </c>
      <c r="H16" t="s">
        <v>513</v>
      </c>
      <c r="I16" t="s">
        <v>134</v>
      </c>
      <c r="J16" t="s">
        <v>882</v>
      </c>
      <c r="K16">
        <v>4.2</v>
      </c>
      <c r="L16" t="s">
        <v>131</v>
      </c>
      <c r="M16" t="s">
        <v>131</v>
      </c>
      <c r="N16">
        <v>15</v>
      </c>
      <c r="O16">
        <v>7.3959999999999999</v>
      </c>
      <c r="P16">
        <v>31.2</v>
      </c>
      <c r="Q16">
        <v>93</v>
      </c>
      <c r="R16" t="s">
        <v>804</v>
      </c>
      <c r="S16" t="s">
        <v>300</v>
      </c>
      <c r="T16" t="s">
        <v>593</v>
      </c>
      <c r="U16" t="s">
        <v>171</v>
      </c>
      <c r="V16" t="s">
        <v>883</v>
      </c>
      <c r="W16" t="s">
        <v>884</v>
      </c>
      <c r="X16" t="s">
        <v>885</v>
      </c>
      <c r="Y16" t="s">
        <v>886</v>
      </c>
      <c r="Z16">
        <v>6</v>
      </c>
      <c r="AA16">
        <v>4.8</v>
      </c>
      <c r="AB16" t="s">
        <v>296</v>
      </c>
      <c r="AC16" t="s">
        <v>415</v>
      </c>
      <c r="AD16" t="s">
        <v>627</v>
      </c>
      <c r="AE16" s="18">
        <v>131.6</v>
      </c>
      <c r="AF16" s="32">
        <v>14.9</v>
      </c>
      <c r="AG16" s="32"/>
      <c r="AH16" s="32">
        <v>4.1100000000000003</v>
      </c>
    </row>
    <row r="17" spans="1:34">
      <c r="A17" s="16" t="s">
        <v>99</v>
      </c>
      <c r="B17" s="27">
        <v>0.39930555555555558</v>
      </c>
      <c r="C17" s="14" t="s">
        <v>97</v>
      </c>
      <c r="D17">
        <v>68</v>
      </c>
      <c r="E17">
        <v>263</v>
      </c>
      <c r="F17" t="s">
        <v>131</v>
      </c>
      <c r="G17" t="s">
        <v>887</v>
      </c>
      <c r="H17" t="s">
        <v>281</v>
      </c>
      <c r="I17" t="s">
        <v>888</v>
      </c>
      <c r="J17" t="s">
        <v>601</v>
      </c>
      <c r="K17">
        <v>6</v>
      </c>
      <c r="L17" t="s">
        <v>131</v>
      </c>
      <c r="M17" t="s">
        <v>131</v>
      </c>
      <c r="N17">
        <v>12</v>
      </c>
      <c r="O17">
        <v>7.3789999999999996</v>
      </c>
      <c r="P17">
        <v>32.5</v>
      </c>
      <c r="Q17">
        <v>106</v>
      </c>
      <c r="R17" t="s">
        <v>575</v>
      </c>
      <c r="S17" t="s">
        <v>486</v>
      </c>
      <c r="T17" t="s">
        <v>663</v>
      </c>
      <c r="U17" t="s">
        <v>559</v>
      </c>
      <c r="V17" t="s">
        <v>889</v>
      </c>
      <c r="W17" t="s">
        <v>890</v>
      </c>
      <c r="X17" t="s">
        <v>891</v>
      </c>
      <c r="Y17" t="s">
        <v>892</v>
      </c>
      <c r="Z17">
        <v>2</v>
      </c>
      <c r="AA17">
        <v>6.3</v>
      </c>
      <c r="AB17">
        <v>1.2</v>
      </c>
      <c r="AC17">
        <v>73.3</v>
      </c>
      <c r="AD17">
        <v>74.900000000000006</v>
      </c>
      <c r="AE17" s="18">
        <v>95.9</v>
      </c>
      <c r="AF17" s="32">
        <v>15.2</v>
      </c>
      <c r="AG17" s="32"/>
      <c r="AH17" s="32">
        <v>4.83</v>
      </c>
    </row>
    <row r="18" spans="1:34">
      <c r="A18" s="34" t="s">
        <v>126</v>
      </c>
      <c r="B18" s="27">
        <v>0.44097222222222221</v>
      </c>
      <c r="C18" s="14" t="s">
        <v>97</v>
      </c>
      <c r="D18">
        <v>53</v>
      </c>
      <c r="E18">
        <v>284</v>
      </c>
      <c r="F18" t="s">
        <v>131</v>
      </c>
      <c r="G18" t="s">
        <v>131</v>
      </c>
      <c r="H18" t="s">
        <v>131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>
        <v>9.6999999999999993</v>
      </c>
      <c r="O18">
        <v>7.4450000000000003</v>
      </c>
      <c r="P18">
        <v>41.5</v>
      </c>
      <c r="Q18">
        <v>87.2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131</v>
      </c>
      <c r="AB18" t="s">
        <v>131</v>
      </c>
      <c r="AC18" t="s">
        <v>131</v>
      </c>
      <c r="AD18" t="s">
        <v>131</v>
      </c>
      <c r="AE18" s="18"/>
      <c r="AF18" s="32"/>
      <c r="AG18" s="32"/>
      <c r="AH18" s="32"/>
    </row>
    <row r="19" spans="1:34">
      <c r="A19" s="16" t="s">
        <v>127</v>
      </c>
      <c r="B19" s="27">
        <v>0.4826388888888889</v>
      </c>
      <c r="C19" s="14" t="s">
        <v>97</v>
      </c>
      <c r="D19">
        <v>64</v>
      </c>
      <c r="E19">
        <v>297</v>
      </c>
      <c r="F19" t="s">
        <v>131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>
        <v>4</v>
      </c>
      <c r="O19">
        <v>7.5129999999999999</v>
      </c>
      <c r="P19">
        <v>41.6</v>
      </c>
      <c r="Q19">
        <v>95.2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131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s="18"/>
      <c r="AF19" s="32"/>
      <c r="AG19" s="32"/>
      <c r="AH19" s="32"/>
    </row>
    <row r="20" spans="1:34">
      <c r="A20" s="16" t="s">
        <v>100</v>
      </c>
      <c r="B20" s="27">
        <v>0.52430555555555558</v>
      </c>
      <c r="C20" s="14" t="s">
        <v>97</v>
      </c>
      <c r="D20">
        <v>64</v>
      </c>
      <c r="E20">
        <v>296</v>
      </c>
      <c r="F20" t="s">
        <v>131</v>
      </c>
      <c r="G20" t="s">
        <v>131</v>
      </c>
      <c r="H20" t="s">
        <v>131</v>
      </c>
      <c r="I20" t="s">
        <v>131</v>
      </c>
      <c r="J20" t="s">
        <v>131</v>
      </c>
      <c r="K20" t="s">
        <v>131</v>
      </c>
      <c r="L20" t="s">
        <v>131</v>
      </c>
      <c r="M20" t="s">
        <v>131</v>
      </c>
      <c r="N20">
        <v>4.3</v>
      </c>
      <c r="O20">
        <v>7.5140000000000002</v>
      </c>
      <c r="P20">
        <v>36.9</v>
      </c>
      <c r="Q20">
        <v>103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131</v>
      </c>
      <c r="Y20" t="s">
        <v>131</v>
      </c>
      <c r="Z20" t="s">
        <v>131</v>
      </c>
      <c r="AA20" t="s">
        <v>131</v>
      </c>
      <c r="AB20" t="s">
        <v>131</v>
      </c>
      <c r="AC20" t="s">
        <v>131</v>
      </c>
      <c r="AD20" t="s">
        <v>131</v>
      </c>
      <c r="AE20" s="18"/>
      <c r="AF20" s="32"/>
      <c r="AG20" s="32"/>
      <c r="AH20" s="32"/>
    </row>
    <row r="21" spans="1:34">
      <c r="A21" s="16" t="s">
        <v>104</v>
      </c>
      <c r="B21" s="27">
        <v>0.53125</v>
      </c>
      <c r="C21" s="14" t="s">
        <v>97</v>
      </c>
      <c r="D21">
        <v>70</v>
      </c>
      <c r="E21">
        <v>288</v>
      </c>
      <c r="F21" t="s">
        <v>131</v>
      </c>
      <c r="G21" t="s">
        <v>893</v>
      </c>
      <c r="H21" t="s">
        <v>487</v>
      </c>
      <c r="I21" t="s">
        <v>227</v>
      </c>
      <c r="J21" t="s">
        <v>861</v>
      </c>
      <c r="K21">
        <v>5</v>
      </c>
      <c r="L21" t="s">
        <v>131</v>
      </c>
      <c r="M21" t="s">
        <v>131</v>
      </c>
      <c r="N21">
        <v>3.9</v>
      </c>
      <c r="O21">
        <v>7.4870000000000001</v>
      </c>
      <c r="P21">
        <v>39.200000000000003</v>
      </c>
      <c r="Q21">
        <v>93.4</v>
      </c>
      <c r="R21">
        <v>185</v>
      </c>
      <c r="S21">
        <v>82</v>
      </c>
      <c r="T21">
        <v>151</v>
      </c>
      <c r="U21">
        <v>1</v>
      </c>
      <c r="V21">
        <v>19.190000000000001</v>
      </c>
      <c r="W21">
        <v>268</v>
      </c>
      <c r="X21">
        <v>143.87</v>
      </c>
      <c r="Y21">
        <v>392.86</v>
      </c>
      <c r="Z21">
        <v>2</v>
      </c>
      <c r="AA21">
        <v>10</v>
      </c>
      <c r="AB21" t="s">
        <v>699</v>
      </c>
      <c r="AC21" t="s">
        <v>852</v>
      </c>
      <c r="AD21" t="s">
        <v>804</v>
      </c>
      <c r="AE21" s="18">
        <v>124.4</v>
      </c>
      <c r="AF21" s="32">
        <v>10.1</v>
      </c>
      <c r="AG21" s="32">
        <v>17.5</v>
      </c>
      <c r="AH21" s="32">
        <v>3.78</v>
      </c>
    </row>
    <row r="22" spans="1:34">
      <c r="A22" s="16" t="s">
        <v>773</v>
      </c>
      <c r="B22" s="27">
        <v>0.57291666666666663</v>
      </c>
      <c r="C22" s="14" t="s">
        <v>97</v>
      </c>
      <c r="D22">
        <v>55</v>
      </c>
      <c r="E22">
        <v>299</v>
      </c>
      <c r="F22" t="s">
        <v>131</v>
      </c>
      <c r="G22">
        <v>4.7</v>
      </c>
      <c r="H22">
        <v>10.9</v>
      </c>
      <c r="I22">
        <v>33.299999999999997</v>
      </c>
      <c r="J22">
        <v>239</v>
      </c>
      <c r="K22">
        <v>4.7</v>
      </c>
      <c r="L22" t="s">
        <v>131</v>
      </c>
      <c r="M22" t="s">
        <v>131</v>
      </c>
      <c r="N22">
        <v>3.1</v>
      </c>
      <c r="O22">
        <v>7.4960000000000004</v>
      </c>
      <c r="P22">
        <v>37.1</v>
      </c>
      <c r="Q22">
        <v>91.5</v>
      </c>
      <c r="R22">
        <v>265</v>
      </c>
      <c r="S22">
        <v>95</v>
      </c>
      <c r="T22">
        <v>438</v>
      </c>
      <c r="U22">
        <v>0.8</v>
      </c>
      <c r="V22">
        <v>22.51</v>
      </c>
      <c r="W22">
        <v>283</v>
      </c>
      <c r="X22">
        <v>278.37</v>
      </c>
      <c r="Y22">
        <v>177.01</v>
      </c>
      <c r="Z22">
        <v>2</v>
      </c>
      <c r="AA22">
        <v>10</v>
      </c>
      <c r="AB22" t="s">
        <v>699</v>
      </c>
      <c r="AC22" t="s">
        <v>852</v>
      </c>
      <c r="AD22" t="s">
        <v>804</v>
      </c>
      <c r="AE22" s="9">
        <v>121</v>
      </c>
      <c r="AF22" s="9">
        <v>13.9</v>
      </c>
      <c r="AG22" s="32">
        <v>27.3</v>
      </c>
      <c r="AH22" s="32">
        <v>4.71</v>
      </c>
    </row>
    <row r="23" spans="1:34">
      <c r="A23" s="16" t="s">
        <v>105</v>
      </c>
      <c r="B23" s="27">
        <v>0.39930555555555558</v>
      </c>
      <c r="C23" s="14" t="s">
        <v>97</v>
      </c>
      <c r="D23">
        <v>68</v>
      </c>
      <c r="E23">
        <v>180</v>
      </c>
      <c r="F23" t="s">
        <v>131</v>
      </c>
      <c r="G23" t="s">
        <v>894</v>
      </c>
      <c r="H23" t="s">
        <v>530</v>
      </c>
      <c r="I23" t="s">
        <v>895</v>
      </c>
      <c r="J23" t="s">
        <v>517</v>
      </c>
      <c r="K23">
        <v>2.2000000000000002</v>
      </c>
      <c r="L23" t="s">
        <v>131</v>
      </c>
      <c r="M23" t="s">
        <v>131</v>
      </c>
      <c r="N23">
        <v>2.1</v>
      </c>
      <c r="O23">
        <v>7.58</v>
      </c>
      <c r="P23">
        <v>28.3</v>
      </c>
      <c r="Q23">
        <v>95</v>
      </c>
      <c r="R23">
        <v>257</v>
      </c>
      <c r="S23">
        <v>166</v>
      </c>
      <c r="T23">
        <v>438</v>
      </c>
      <c r="U23">
        <v>0.8</v>
      </c>
      <c r="V23">
        <v>22.51</v>
      </c>
      <c r="W23">
        <v>283</v>
      </c>
      <c r="X23">
        <v>278.37</v>
      </c>
      <c r="Y23">
        <v>177.01</v>
      </c>
      <c r="Z23">
        <v>2</v>
      </c>
      <c r="AA23">
        <v>12.6</v>
      </c>
      <c r="AB23" t="s">
        <v>896</v>
      </c>
      <c r="AC23" t="s">
        <v>897</v>
      </c>
      <c r="AD23" t="s">
        <v>898</v>
      </c>
      <c r="AE23" s="9">
        <v>100.6</v>
      </c>
      <c r="AF23" s="9">
        <v>11.9</v>
      </c>
      <c r="AG23" s="32">
        <v>25.3</v>
      </c>
      <c r="AH23" s="32">
        <v>11.67</v>
      </c>
    </row>
    <row r="24" spans="1:34">
      <c r="A24" s="16" t="s">
        <v>106</v>
      </c>
      <c r="B24" s="27"/>
      <c r="C24" s="14" t="s">
        <v>97</v>
      </c>
      <c r="D24" t="s">
        <v>131</v>
      </c>
      <c r="E24" t="s">
        <v>131</v>
      </c>
      <c r="F24" t="s">
        <v>131</v>
      </c>
      <c r="K24" t="s">
        <v>131</v>
      </c>
      <c r="L24" t="s">
        <v>131</v>
      </c>
      <c r="M24" t="s">
        <v>131</v>
      </c>
      <c r="O24" t="s">
        <v>131</v>
      </c>
      <c r="P24" t="s">
        <v>131</v>
      </c>
      <c r="Q24" t="s">
        <v>131</v>
      </c>
      <c r="X24" t="s">
        <v>131</v>
      </c>
      <c r="Y24" t="s">
        <v>131</v>
      </c>
      <c r="Z24" t="s">
        <v>131</v>
      </c>
      <c r="AA24" t="s">
        <v>131</v>
      </c>
      <c r="AE24" s="9"/>
      <c r="AF24" s="9"/>
      <c r="AG24" s="32"/>
      <c r="AH24" s="32"/>
    </row>
    <row r="25" spans="1:34">
      <c r="A25" s="7"/>
      <c r="B25" s="33"/>
      <c r="C25" s="33"/>
      <c r="D25" t="s">
        <v>131</v>
      </c>
      <c r="E25" t="s">
        <v>131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131</v>
      </c>
      <c r="T25" t="s">
        <v>131</v>
      </c>
      <c r="U25" t="s">
        <v>131</v>
      </c>
      <c r="V25" t="s">
        <v>131</v>
      </c>
      <c r="W25" t="s">
        <v>131</v>
      </c>
      <c r="X25" t="s">
        <v>131</v>
      </c>
      <c r="Y25" t="s">
        <v>131</v>
      </c>
      <c r="Z25" t="s">
        <v>131</v>
      </c>
      <c r="AA25" t="s">
        <v>131</v>
      </c>
      <c r="AB25" t="s">
        <v>131</v>
      </c>
      <c r="AC25" t="s">
        <v>131</v>
      </c>
      <c r="AD25" t="s">
        <v>131</v>
      </c>
      <c r="AE25" s="9"/>
      <c r="AF25" s="9"/>
      <c r="AG25" s="9"/>
    </row>
    <row r="26" spans="1:34">
      <c r="A26" s="7"/>
      <c r="B26" s="33"/>
      <c r="C26" s="33"/>
      <c r="D26" t="s">
        <v>131</v>
      </c>
      <c r="E26" t="s">
        <v>131</v>
      </c>
      <c r="F26" t="s">
        <v>131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131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131</v>
      </c>
      <c r="Z26" t="s">
        <v>131</v>
      </c>
      <c r="AA26" t="s">
        <v>131</v>
      </c>
      <c r="AB26" t="s">
        <v>131</v>
      </c>
      <c r="AC26" t="s">
        <v>131</v>
      </c>
      <c r="AD26" t="s">
        <v>131</v>
      </c>
      <c r="AE26" s="9"/>
      <c r="AF26" s="9"/>
      <c r="AG26" s="9"/>
    </row>
    <row r="27" spans="1:34">
      <c r="A27" s="7"/>
      <c r="B27" s="33"/>
      <c r="C27" s="33"/>
      <c r="AE27" s="9"/>
      <c r="AF27" s="9"/>
      <c r="AG27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284EAC8C-BD10-4FA8-9F19-7E291652147C}">
      <formula1>"incomplete, COMPLETED"</formula1>
    </dataValidation>
  </dataValidation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3D23-BB30-4B03-AC2B-DE70D65AA4B7}">
  <dimension ref="A1:AZ28"/>
  <sheetViews>
    <sheetView workbookViewId="0">
      <selection activeCell="B4" sqref="B4:C4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52" t="s">
        <v>899</v>
      </c>
      <c r="C4" s="53"/>
      <c r="D4" s="5"/>
      <c r="E4" s="4" t="s">
        <v>4</v>
      </c>
      <c r="F4" s="54"/>
      <c r="G4" s="55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111</v>
      </c>
      <c r="B5" s="52"/>
      <c r="C5" s="53"/>
      <c r="D5" s="5"/>
      <c r="E5" s="4" t="s">
        <v>8</v>
      </c>
      <c r="F5" s="56"/>
      <c r="G5" s="57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10</v>
      </c>
      <c r="B6" s="60"/>
      <c r="C6" s="6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11</v>
      </c>
      <c r="B7" s="6"/>
      <c r="C7" s="3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12</v>
      </c>
      <c r="B8" s="36"/>
      <c r="C8" s="38">
        <v>0.4</v>
      </c>
      <c r="D8" s="5"/>
      <c r="E8" s="5"/>
      <c r="F8" s="3"/>
      <c r="G8" s="3"/>
      <c r="H8" s="3"/>
      <c r="I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13</v>
      </c>
      <c r="B9" s="62"/>
      <c r="C9" s="63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X10" s="9"/>
      <c r="Y10" s="9"/>
      <c r="Z10" s="9"/>
      <c r="AA10" s="9"/>
      <c r="AB10" s="9"/>
      <c r="AC10" s="9"/>
      <c r="AD10" s="10"/>
      <c r="AE10" s="10"/>
      <c r="AF10" s="10"/>
      <c r="AG10" s="10"/>
    </row>
    <row r="11" spans="1:52">
      <c r="A11" s="7"/>
      <c r="B11" s="11"/>
      <c r="C11" s="12"/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 t="s">
        <v>14</v>
      </c>
      <c r="J11" s="13" t="s">
        <v>14</v>
      </c>
      <c r="K11" s="13" t="s">
        <v>14</v>
      </c>
      <c r="L11" s="13" t="s">
        <v>14</v>
      </c>
      <c r="M11" s="13" t="s">
        <v>14</v>
      </c>
      <c r="N11" s="13" t="s">
        <v>14</v>
      </c>
      <c r="O11" s="13" t="s">
        <v>14</v>
      </c>
      <c r="P11" s="13" t="s">
        <v>14</v>
      </c>
      <c r="Q11" s="13" t="s">
        <v>14</v>
      </c>
      <c r="R11" s="13" t="s">
        <v>14</v>
      </c>
      <c r="S11" s="13" t="s">
        <v>14</v>
      </c>
      <c r="T11" s="13" t="s">
        <v>14</v>
      </c>
      <c r="U11" s="13" t="s">
        <v>14</v>
      </c>
      <c r="V11" s="13" t="s">
        <v>14</v>
      </c>
      <c r="W11" s="13" t="s">
        <v>14</v>
      </c>
      <c r="X11" s="13" t="s">
        <v>14</v>
      </c>
      <c r="Y11" s="13" t="s">
        <v>14</v>
      </c>
      <c r="Z11" s="13" t="s">
        <v>14</v>
      </c>
      <c r="AA11" s="13" t="s">
        <v>14</v>
      </c>
      <c r="AB11" s="13" t="s">
        <v>14</v>
      </c>
      <c r="AC11" s="13" t="s">
        <v>14</v>
      </c>
      <c r="AD11" s="13" t="s">
        <v>14</v>
      </c>
      <c r="AE11" s="13" t="s">
        <v>14</v>
      </c>
      <c r="AF11" s="13" t="s">
        <v>14</v>
      </c>
      <c r="AG11" s="13" t="s">
        <v>14</v>
      </c>
      <c r="AH11" s="13" t="s">
        <v>14</v>
      </c>
      <c r="AI11" s="13" t="s">
        <v>14</v>
      </c>
      <c r="AJ11" s="13" t="s">
        <v>14</v>
      </c>
      <c r="AK11" s="13" t="s">
        <v>14</v>
      </c>
      <c r="AL11" s="13" t="s">
        <v>14</v>
      </c>
      <c r="AM11" s="13" t="s">
        <v>14</v>
      </c>
      <c r="AN11" s="13" t="s">
        <v>14</v>
      </c>
      <c r="AO11" s="13" t="s">
        <v>14</v>
      </c>
      <c r="AP11" s="13" t="s">
        <v>14</v>
      </c>
      <c r="AQ11" s="13" t="s">
        <v>14</v>
      </c>
      <c r="AR11" s="13" t="s">
        <v>14</v>
      </c>
      <c r="AS11" s="13" t="s">
        <v>14</v>
      </c>
      <c r="AT11" s="13" t="s">
        <v>14</v>
      </c>
      <c r="AU11" s="13" t="s">
        <v>14</v>
      </c>
      <c r="AV11" s="13" t="s">
        <v>14</v>
      </c>
      <c r="AW11" s="13" t="s">
        <v>14</v>
      </c>
      <c r="AX11" s="13" t="s">
        <v>14</v>
      </c>
      <c r="AY11" s="13" t="s">
        <v>14</v>
      </c>
      <c r="AZ11" s="13" t="s">
        <v>14</v>
      </c>
    </row>
    <row r="12" spans="1:52">
      <c r="A12" s="7"/>
      <c r="B12" s="11"/>
      <c r="C12" s="12" t="s">
        <v>15</v>
      </c>
      <c r="D12" s="12" t="s">
        <v>16</v>
      </c>
      <c r="E12" s="12" t="s">
        <v>17</v>
      </c>
      <c r="F12" s="12" t="s">
        <v>18</v>
      </c>
      <c r="G12" s="58" t="s">
        <v>19</v>
      </c>
      <c r="H12" s="58"/>
      <c r="I12" s="58"/>
      <c r="J12" s="58"/>
      <c r="K12" s="58"/>
      <c r="L12" s="14" t="s">
        <v>20</v>
      </c>
      <c r="M12" s="14" t="s">
        <v>21</v>
      </c>
      <c r="N12" s="64" t="s">
        <v>22</v>
      </c>
      <c r="O12" s="64"/>
      <c r="P12" s="64"/>
      <c r="Q12" s="64"/>
      <c r="R12" s="65" t="s">
        <v>23</v>
      </c>
      <c r="S12" s="65"/>
      <c r="T12" s="65"/>
      <c r="U12" s="65"/>
      <c r="V12" s="65"/>
      <c r="W12" s="65"/>
      <c r="X12" s="65"/>
      <c r="Y12" s="65"/>
      <c r="Z12" s="65"/>
      <c r="AA12" s="58" t="s">
        <v>24</v>
      </c>
      <c r="AB12" s="58"/>
      <c r="AC12" s="58"/>
      <c r="AD12" s="58"/>
      <c r="AE12" s="58" t="s">
        <v>25</v>
      </c>
      <c r="AF12" s="58"/>
      <c r="AG12" s="58"/>
      <c r="AH12" s="58"/>
      <c r="AI12" s="59" t="s">
        <v>26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 t="s">
        <v>27</v>
      </c>
      <c r="AZ12" s="59"/>
    </row>
    <row r="13" spans="1:52" ht="15" customHeight="1">
      <c r="A13" s="14"/>
      <c r="B13" s="15"/>
      <c r="C13" s="16" t="s">
        <v>28</v>
      </c>
      <c r="D13" s="17" t="s">
        <v>29</v>
      </c>
      <c r="E13" s="17" t="s">
        <v>30</v>
      </c>
      <c r="F13" s="17" t="s">
        <v>31</v>
      </c>
      <c r="G13" s="18" t="s">
        <v>32</v>
      </c>
      <c r="H13" s="18" t="s">
        <v>33</v>
      </c>
      <c r="I13" s="18" t="s">
        <v>29</v>
      </c>
      <c r="J13" s="18" t="s">
        <v>34</v>
      </c>
      <c r="K13" s="18" t="s">
        <v>34</v>
      </c>
      <c r="L13" s="18" t="s">
        <v>35</v>
      </c>
      <c r="M13" s="18" t="s">
        <v>36</v>
      </c>
      <c r="N13" s="18" t="s">
        <v>37</v>
      </c>
      <c r="O13" s="18" t="s">
        <v>38</v>
      </c>
      <c r="P13" s="18" t="s">
        <v>29</v>
      </c>
      <c r="Q13" s="18" t="s">
        <v>29</v>
      </c>
      <c r="R13" s="18" t="s">
        <v>39</v>
      </c>
      <c r="S13" s="18" t="s">
        <v>39</v>
      </c>
      <c r="T13" s="18" t="s">
        <v>39</v>
      </c>
      <c r="U13" s="18" t="s">
        <v>40</v>
      </c>
      <c r="V13" s="18" t="s">
        <v>40</v>
      </c>
      <c r="W13" s="18" t="s">
        <v>39</v>
      </c>
      <c r="X13" s="18" t="s">
        <v>40</v>
      </c>
      <c r="Y13" s="18" t="s">
        <v>40</v>
      </c>
      <c r="Z13" s="18" t="s">
        <v>39</v>
      </c>
      <c r="AA13" s="18" t="s">
        <v>41</v>
      </c>
      <c r="AB13" s="18" t="s">
        <v>41</v>
      </c>
      <c r="AC13" s="18" t="s">
        <v>42</v>
      </c>
      <c r="AD13" s="18" t="s">
        <v>43</v>
      </c>
      <c r="AE13" s="18" t="s">
        <v>44</v>
      </c>
      <c r="AF13" s="18" t="s">
        <v>44</v>
      </c>
      <c r="AG13" s="18" t="s">
        <v>44</v>
      </c>
      <c r="AH13" s="18" t="s">
        <v>45</v>
      </c>
      <c r="AI13" s="19" t="s">
        <v>46</v>
      </c>
      <c r="AJ13" s="19" t="s">
        <v>46</v>
      </c>
      <c r="AK13" s="19" t="s">
        <v>46</v>
      </c>
      <c r="AL13" s="19" t="s">
        <v>46</v>
      </c>
      <c r="AM13" s="19" t="s">
        <v>46</v>
      </c>
      <c r="AN13" s="19" t="s">
        <v>46</v>
      </c>
      <c r="AO13" s="19" t="s">
        <v>46</v>
      </c>
      <c r="AP13" s="19" t="s">
        <v>46</v>
      </c>
      <c r="AQ13" s="19" t="s">
        <v>46</v>
      </c>
      <c r="AR13" s="19" t="s">
        <v>46</v>
      </c>
      <c r="AS13" s="19" t="s">
        <v>46</v>
      </c>
      <c r="AT13" s="19" t="s">
        <v>46</v>
      </c>
      <c r="AU13" s="19" t="s">
        <v>46</v>
      </c>
      <c r="AV13" s="19" t="s">
        <v>46</v>
      </c>
      <c r="AW13" s="19" t="s">
        <v>46</v>
      </c>
      <c r="AX13" s="19" t="s">
        <v>46</v>
      </c>
      <c r="AY13" s="18" t="s">
        <v>46</v>
      </c>
      <c r="AZ13" s="18" t="s">
        <v>46</v>
      </c>
    </row>
    <row r="14" spans="1:52" ht="15.75" customHeight="1">
      <c r="A14" s="20" t="s">
        <v>47</v>
      </c>
      <c r="B14" s="21" t="s">
        <v>48</v>
      </c>
      <c r="C14" s="20" t="s">
        <v>49</v>
      </c>
      <c r="D14" s="20" t="s">
        <v>16</v>
      </c>
      <c r="E14" s="20" t="s">
        <v>30</v>
      </c>
      <c r="F14" s="20" t="s">
        <v>50</v>
      </c>
      <c r="G14" s="20" t="s">
        <v>51</v>
      </c>
      <c r="H14" s="20" t="s">
        <v>52</v>
      </c>
      <c r="I14" s="22" t="s">
        <v>53</v>
      </c>
      <c r="J14" s="22" t="s">
        <v>54</v>
      </c>
      <c r="K14" s="22" t="s">
        <v>55</v>
      </c>
      <c r="L14" s="22" t="s">
        <v>56</v>
      </c>
      <c r="M14" s="22" t="s">
        <v>21</v>
      </c>
      <c r="N14" s="22" t="s">
        <v>57</v>
      </c>
      <c r="O14" s="22" t="s">
        <v>58</v>
      </c>
      <c r="P14" s="22" t="s">
        <v>59</v>
      </c>
      <c r="Q14" s="22" t="s">
        <v>60</v>
      </c>
      <c r="R14" s="23" t="s">
        <v>61</v>
      </c>
      <c r="S14" s="24" t="s">
        <v>62</v>
      </c>
      <c r="T14" s="24" t="s">
        <v>63</v>
      </c>
      <c r="U14" s="24" t="s">
        <v>64</v>
      </c>
      <c r="V14" s="24" t="s">
        <v>65</v>
      </c>
      <c r="W14" s="24" t="s">
        <v>66</v>
      </c>
      <c r="X14" s="24" t="s">
        <v>67</v>
      </c>
      <c r="Y14" s="24" t="s">
        <v>68</v>
      </c>
      <c r="Z14" s="24" t="s">
        <v>69</v>
      </c>
      <c r="AA14" s="24" t="s">
        <v>70</v>
      </c>
      <c r="AB14" s="24" t="s">
        <v>71</v>
      </c>
      <c r="AC14" s="24" t="s">
        <v>72</v>
      </c>
      <c r="AD14" s="24" t="s">
        <v>73</v>
      </c>
      <c r="AE14" s="24" t="s">
        <v>74</v>
      </c>
      <c r="AF14" s="23" t="s">
        <v>75</v>
      </c>
      <c r="AG14" s="23" t="s">
        <v>76</v>
      </c>
      <c r="AH14" s="23" t="s">
        <v>77</v>
      </c>
      <c r="AI14" s="25" t="s">
        <v>78</v>
      </c>
      <c r="AJ14" s="25" t="s">
        <v>79</v>
      </c>
      <c r="AK14" s="25" t="s">
        <v>80</v>
      </c>
      <c r="AL14" s="25" t="s">
        <v>81</v>
      </c>
      <c r="AM14" s="25" t="s">
        <v>82</v>
      </c>
      <c r="AN14" s="25" t="s">
        <v>83</v>
      </c>
      <c r="AO14" s="25" t="s">
        <v>84</v>
      </c>
      <c r="AP14" s="25" t="s">
        <v>85</v>
      </c>
      <c r="AQ14" s="25" t="s">
        <v>86</v>
      </c>
      <c r="AR14" s="25" t="s">
        <v>87</v>
      </c>
      <c r="AS14" s="25" t="s">
        <v>88</v>
      </c>
      <c r="AT14" s="25" t="s">
        <v>89</v>
      </c>
      <c r="AU14" s="25" t="s">
        <v>90</v>
      </c>
      <c r="AV14" s="25" t="s">
        <v>91</v>
      </c>
      <c r="AW14" s="25" t="s">
        <v>92</v>
      </c>
      <c r="AX14" s="25" t="s">
        <v>93</v>
      </c>
      <c r="AY14" s="23" t="s">
        <v>94</v>
      </c>
      <c r="AZ14" s="23" t="s">
        <v>95</v>
      </c>
    </row>
    <row r="15" spans="1:52" ht="15.95">
      <c r="A15" s="26" t="s">
        <v>96</v>
      </c>
      <c r="B15" s="27"/>
      <c r="C15" s="14" t="s">
        <v>97</v>
      </c>
      <c r="D15" s="14"/>
      <c r="E15" s="14"/>
      <c r="F15" s="14"/>
      <c r="G15" s="28"/>
      <c r="H15" s="28"/>
      <c r="I15" s="18"/>
      <c r="J15" s="18"/>
      <c r="K15" s="18"/>
      <c r="L15" s="18"/>
      <c r="M15" s="29" t="e">
        <f>L15/(64.5*H15)</f>
        <v>#DIV/0!</v>
      </c>
      <c r="N15" s="30"/>
      <c r="O15" s="30"/>
      <c r="P15" s="30"/>
      <c r="Q15" s="30"/>
      <c r="R15" s="18"/>
      <c r="S15" s="31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32"/>
      <c r="AG15" s="32"/>
      <c r="AH15" s="32"/>
    </row>
    <row r="16" spans="1:52" ht="15.95">
      <c r="A16" s="16" t="s">
        <v>98</v>
      </c>
      <c r="B16" s="27"/>
      <c r="C16" s="14" t="s">
        <v>97</v>
      </c>
      <c r="D16" s="14"/>
      <c r="E16" s="14"/>
      <c r="F16" s="14"/>
      <c r="G16" s="18"/>
      <c r="H16" s="18"/>
      <c r="I16" s="18"/>
      <c r="J16" s="18"/>
      <c r="K16" s="18"/>
      <c r="L16" s="18"/>
      <c r="M16" s="29" t="e">
        <f t="shared" ref="M16:M25" si="0">L16/(64.5*H16)</f>
        <v>#DIV/0!</v>
      </c>
      <c r="N16" s="30"/>
      <c r="O16" s="30"/>
      <c r="P16" s="30"/>
      <c r="Q16" s="30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2"/>
      <c r="AG16" s="32"/>
      <c r="AH16" s="32"/>
    </row>
    <row r="17" spans="1:34" ht="15.95">
      <c r="A17" s="16" t="s">
        <v>99</v>
      </c>
      <c r="B17" s="27"/>
      <c r="C17" s="14" t="s">
        <v>97</v>
      </c>
      <c r="D17" s="14"/>
      <c r="E17" s="14"/>
      <c r="F17" s="14"/>
      <c r="G17" s="18"/>
      <c r="H17" s="18"/>
      <c r="I17" s="18"/>
      <c r="J17" s="18"/>
      <c r="K17" s="18"/>
      <c r="L17" s="18"/>
      <c r="M17" s="29" t="e">
        <f t="shared" si="0"/>
        <v>#DIV/0!</v>
      </c>
      <c r="N17" s="30"/>
      <c r="O17" s="30"/>
      <c r="P17" s="30"/>
      <c r="Q17" s="30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32"/>
      <c r="AG17" s="32"/>
      <c r="AH17" s="32"/>
    </row>
    <row r="18" spans="1:34" ht="15.95">
      <c r="A18" s="34" t="s">
        <v>100</v>
      </c>
      <c r="B18" s="27"/>
      <c r="C18" s="14" t="s">
        <v>97</v>
      </c>
      <c r="D18" s="14"/>
      <c r="E18" s="14"/>
      <c r="F18" s="14"/>
      <c r="G18" s="18"/>
      <c r="H18" s="18"/>
      <c r="I18" s="18"/>
      <c r="J18" s="18"/>
      <c r="K18" s="18"/>
      <c r="L18" s="18"/>
      <c r="M18" s="29" t="e">
        <f t="shared" si="0"/>
        <v>#DIV/0!</v>
      </c>
      <c r="N18" s="30"/>
      <c r="O18" s="30"/>
      <c r="P18" s="30"/>
      <c r="Q18" s="30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2"/>
      <c r="AG18" s="32"/>
      <c r="AH18" s="32"/>
    </row>
    <row r="19" spans="1:34" ht="15.95">
      <c r="A19" s="16" t="s">
        <v>101</v>
      </c>
      <c r="B19" s="27"/>
      <c r="C19" s="14" t="s">
        <v>97</v>
      </c>
      <c r="D19" s="14"/>
      <c r="E19" s="14"/>
      <c r="F19" s="14"/>
      <c r="G19" s="18"/>
      <c r="H19" s="18"/>
      <c r="I19" s="18"/>
      <c r="J19" s="18"/>
      <c r="K19" s="18"/>
      <c r="L19" s="18"/>
      <c r="M19" s="29" t="e">
        <f t="shared" si="0"/>
        <v>#DIV/0!</v>
      </c>
      <c r="N19" s="30"/>
      <c r="O19" s="30"/>
      <c r="P19" s="30"/>
      <c r="Q19" s="30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32"/>
      <c r="AG19" s="32"/>
      <c r="AH19" s="32"/>
    </row>
    <row r="20" spans="1:34" ht="15.95">
      <c r="A20" s="16" t="s">
        <v>102</v>
      </c>
      <c r="B20" s="27"/>
      <c r="C20" s="14" t="s">
        <v>97</v>
      </c>
      <c r="D20" s="14"/>
      <c r="E20" s="14"/>
      <c r="F20" s="14"/>
      <c r="G20" s="18"/>
      <c r="H20" s="18"/>
      <c r="I20" s="18"/>
      <c r="J20" s="18"/>
      <c r="K20" s="18"/>
      <c r="L20" s="18"/>
      <c r="M20" s="29" t="e">
        <f t="shared" si="0"/>
        <v>#DIV/0!</v>
      </c>
      <c r="N20" s="30"/>
      <c r="O20" s="30"/>
      <c r="P20" s="30"/>
      <c r="Q20" s="30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2"/>
      <c r="AG20" s="32"/>
      <c r="AH20" s="32"/>
    </row>
    <row r="21" spans="1:34" ht="15.95">
      <c r="A21" s="16" t="s">
        <v>103</v>
      </c>
      <c r="B21" s="27"/>
      <c r="C21" s="14" t="s">
        <v>97</v>
      </c>
      <c r="D21" s="14"/>
      <c r="E21" s="14"/>
      <c r="F21" s="14"/>
      <c r="G21" s="18"/>
      <c r="H21" s="18"/>
      <c r="I21" s="18"/>
      <c r="J21" s="18"/>
      <c r="K21" s="18"/>
      <c r="L21" s="18"/>
      <c r="M21" s="29" t="e">
        <f t="shared" si="0"/>
        <v>#DIV/0!</v>
      </c>
      <c r="N21" s="30"/>
      <c r="O21" s="30"/>
      <c r="P21" s="30"/>
      <c r="Q21" s="30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32"/>
      <c r="AG21" s="32"/>
      <c r="AH21" s="32"/>
    </row>
    <row r="22" spans="1:34" ht="15.95">
      <c r="A22" s="16" t="s">
        <v>104</v>
      </c>
      <c r="B22" s="27"/>
      <c r="C22" s="14" t="s">
        <v>97</v>
      </c>
      <c r="D22" s="14"/>
      <c r="E22" s="14"/>
      <c r="F22" s="14"/>
      <c r="G22" s="18"/>
      <c r="H22" s="18"/>
      <c r="I22" s="18"/>
      <c r="J22" s="18"/>
      <c r="K22" s="18"/>
      <c r="L22" s="18"/>
      <c r="M22" s="29" t="e">
        <f t="shared" si="0"/>
        <v>#DIV/0!</v>
      </c>
      <c r="N22" s="30"/>
      <c r="O22" s="30"/>
      <c r="P22" s="30"/>
      <c r="Q22" s="30"/>
      <c r="R22" s="18"/>
      <c r="S22" s="18"/>
      <c r="T22" s="18"/>
      <c r="U22" s="18"/>
      <c r="V22" s="18"/>
      <c r="W22" s="18"/>
      <c r="X22" s="18"/>
      <c r="Y22" s="18"/>
      <c r="Z22" s="18"/>
      <c r="AA22" s="9"/>
      <c r="AB22" s="9"/>
      <c r="AC22" s="9"/>
      <c r="AD22" s="9"/>
      <c r="AE22" s="9"/>
      <c r="AF22" s="9"/>
      <c r="AG22" s="32"/>
      <c r="AH22" s="32"/>
    </row>
    <row r="23" spans="1:34" ht="15.95">
      <c r="A23" s="16" t="s">
        <v>105</v>
      </c>
      <c r="B23" s="27"/>
      <c r="C23" s="14" t="s">
        <v>97</v>
      </c>
      <c r="D23" s="14"/>
      <c r="E23" s="14"/>
      <c r="F23" s="14"/>
      <c r="G23" s="18"/>
      <c r="H23" s="18"/>
      <c r="I23" s="18"/>
      <c r="J23" s="18"/>
      <c r="K23" s="18"/>
      <c r="L23" s="18"/>
      <c r="M23" s="29" t="e">
        <f t="shared" si="0"/>
        <v>#DIV/0!</v>
      </c>
      <c r="N23" s="30"/>
      <c r="O23" s="30"/>
      <c r="P23" s="30"/>
      <c r="Q23" s="30"/>
      <c r="R23" s="18"/>
      <c r="S23" s="18"/>
      <c r="T23" s="18"/>
      <c r="U23" s="18"/>
      <c r="V23" s="18"/>
      <c r="W23" s="18"/>
      <c r="X23" s="18"/>
      <c r="Y23" s="18"/>
      <c r="Z23" s="18"/>
      <c r="AA23" s="9"/>
      <c r="AB23" s="9"/>
      <c r="AC23" s="9"/>
      <c r="AD23" s="9"/>
      <c r="AE23" s="9"/>
      <c r="AF23" s="9"/>
      <c r="AG23" s="32"/>
      <c r="AH23" s="32"/>
    </row>
    <row r="24" spans="1:34" ht="15.95">
      <c r="A24" s="16" t="s">
        <v>106</v>
      </c>
      <c r="B24" s="27"/>
      <c r="C24" s="14" t="s">
        <v>97</v>
      </c>
      <c r="D24" s="14"/>
      <c r="E24" s="14"/>
      <c r="F24" s="14"/>
      <c r="G24" s="18"/>
      <c r="H24" s="18"/>
      <c r="I24" s="18"/>
      <c r="J24" s="18"/>
      <c r="K24" s="18"/>
      <c r="L24" s="18"/>
      <c r="M24" s="29" t="e">
        <f t="shared" si="0"/>
        <v>#DIV/0!</v>
      </c>
      <c r="N24" s="30"/>
      <c r="O24" s="30"/>
      <c r="P24" s="30"/>
      <c r="Q24" s="30"/>
      <c r="R24" s="18"/>
      <c r="S24" s="18"/>
      <c r="T24" s="18"/>
      <c r="U24" s="18"/>
      <c r="V24" s="18"/>
      <c r="W24" s="18"/>
      <c r="X24" s="18"/>
      <c r="Y24" s="18"/>
      <c r="Z24" s="18"/>
      <c r="AA24" s="9"/>
      <c r="AB24" s="9"/>
      <c r="AC24" s="9"/>
      <c r="AD24" s="9"/>
      <c r="AE24" s="9"/>
      <c r="AF24" s="9"/>
      <c r="AG24" s="32"/>
      <c r="AH24" s="32"/>
    </row>
    <row r="25" spans="1:34" ht="15.95">
      <c r="A25" s="16" t="s">
        <v>107</v>
      </c>
      <c r="B25" s="27"/>
      <c r="C25" s="14" t="s">
        <v>97</v>
      </c>
      <c r="D25" s="14"/>
      <c r="E25" s="14"/>
      <c r="F25" s="14"/>
      <c r="G25" s="18"/>
      <c r="H25" s="18"/>
      <c r="I25" s="18"/>
      <c r="J25" s="18"/>
      <c r="K25" s="18"/>
      <c r="L25" s="18"/>
      <c r="M25" s="29" t="e">
        <f t="shared" si="0"/>
        <v>#DIV/0!</v>
      </c>
      <c r="N25" s="30"/>
      <c r="O25" s="30"/>
      <c r="P25" s="30"/>
      <c r="Q25" s="30"/>
      <c r="R25" s="18"/>
      <c r="S25" s="18"/>
      <c r="T25" s="18"/>
      <c r="U25" s="18"/>
      <c r="V25" s="18"/>
      <c r="W25" s="18"/>
      <c r="X25" s="18"/>
      <c r="Y25" s="18"/>
      <c r="Z25" s="18"/>
      <c r="AA25" s="9"/>
      <c r="AB25" s="9"/>
      <c r="AC25" s="9"/>
      <c r="AD25" s="9"/>
      <c r="AE25" s="9"/>
      <c r="AF25" s="9"/>
      <c r="AG25" s="32"/>
      <c r="AH25" s="32"/>
    </row>
    <row r="26" spans="1:34" ht="15.95">
      <c r="A26" s="7"/>
      <c r="B26" s="33"/>
      <c r="C26" s="33"/>
      <c r="D26" s="33"/>
      <c r="E26" s="33"/>
      <c r="F26" s="33"/>
      <c r="G26" s="33"/>
      <c r="H26" s="9"/>
      <c r="I26" s="2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4">
      <c r="A27" s="7"/>
      <c r="B27" s="33"/>
      <c r="C27" s="33"/>
      <c r="D27" s="33"/>
      <c r="E27" s="33"/>
      <c r="F27" s="33"/>
      <c r="G27" s="3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4">
      <c r="A28" s="7"/>
      <c r="B28" s="33"/>
      <c r="C28" s="33"/>
      <c r="D28" s="33"/>
      <c r="E28" s="33"/>
      <c r="F28" s="33"/>
      <c r="G28" s="3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</sheetData>
  <mergeCells count="15">
    <mergeCell ref="AE12:AH12"/>
    <mergeCell ref="AI12:AX12"/>
    <mergeCell ref="AY12:AZ12"/>
    <mergeCell ref="B6:C6"/>
    <mergeCell ref="B9:C9"/>
    <mergeCell ref="G12:K12"/>
    <mergeCell ref="N12:Q12"/>
    <mergeCell ref="R12:Z12"/>
    <mergeCell ref="AA12:AD12"/>
    <mergeCell ref="A1:F2"/>
    <mergeCell ref="G1:M2"/>
    <mergeCell ref="B4:C4"/>
    <mergeCell ref="F4:G4"/>
    <mergeCell ref="B5:C5"/>
    <mergeCell ref="F5:G5"/>
  </mergeCells>
  <conditionalFormatting sqref="D11:AZ11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C513AE06-B05B-40F7-9ED8-C2F43E38E3DD}">
      <formula1>"incomplete, 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1d7a58-fab8-4303-a582-0d52ca1487cd" xsi:nil="true"/>
    <lcf76f155ced4ddcb4097134ff3c332f xmlns="c2455241-6d26-456a-8fd9-0db667cc9e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094E6-7AE4-4B9D-A916-B2F2782B0566}"/>
</file>

<file path=customXml/itemProps2.xml><?xml version="1.0" encoding="utf-8"?>
<ds:datastoreItem xmlns:ds="http://schemas.openxmlformats.org/officeDocument/2006/customXml" ds:itemID="{357B7A52-A480-4348-B0EF-95FF2432C0EB}"/>
</file>

<file path=customXml/itemProps3.xml><?xml version="1.0" encoding="utf-8"?>
<ds:datastoreItem xmlns:ds="http://schemas.openxmlformats.org/officeDocument/2006/customXml" ds:itemID="{FAF5C090-D3D9-4471-8222-4BBB32EEA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Maryland School of Medicine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Mandalika, Amulya</cp:lastModifiedBy>
  <cp:revision/>
  <dcterms:created xsi:type="dcterms:W3CDTF">2026-02-02T19:57:22Z</dcterms:created>
  <dcterms:modified xsi:type="dcterms:W3CDTF">2026-08-05T18:43:59Z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
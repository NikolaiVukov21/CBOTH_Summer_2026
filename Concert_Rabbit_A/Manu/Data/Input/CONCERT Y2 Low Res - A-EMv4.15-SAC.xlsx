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pumas01.sharepoint.com/sites/ConcertDCC/comm/Assay Results Year 2  Input Data Here/Scenario A/Low Resolution Data/"/>
    </mc:Choice>
  </mc:AlternateContent>
  <xr:revisionPtr revIDLastSave="571" documentId="13_ncr:1_{2A0D0316-5309-4BB9-A5E2-5D8A74C52A0F}" xr6:coauthVersionLast="47" xr6:coauthVersionMax="47" xr10:uidLastSave="{5F0A8A3D-F2D6-DE4F-86E9-E49502E09F52}"/>
  <bookViews>
    <workbookView xWindow="0" yWindow="0" windowWidth="28800" windowHeight="18000" activeTab="2" xr2:uid="{00000000-000D-0000-FFFF-FFFF00000000}"/>
  </bookViews>
  <sheets>
    <sheet name="A-EMv4.15-SAC 01" sheetId="7" r:id="rId1"/>
    <sheet name="A-EMv4.15-SAC 02" sheetId="8" r:id="rId2"/>
    <sheet name="Round (1)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9" l="1"/>
  <c r="M16" i="9"/>
  <c r="M17" i="9"/>
  <c r="M18" i="9"/>
  <c r="M19" i="9"/>
  <c r="M20" i="9"/>
  <c r="M14" i="9"/>
  <c r="M15" i="8"/>
  <c r="M16" i="8"/>
  <c r="M17" i="8"/>
  <c r="M18" i="8"/>
  <c r="M19" i="8"/>
  <c r="M20" i="8"/>
  <c r="M15" i="7"/>
  <c r="M16" i="7"/>
  <c r="M17" i="7"/>
  <c r="M18" i="7"/>
  <c r="M19" i="7"/>
  <c r="M20" i="7"/>
  <c r="M14" i="8"/>
  <c r="M14" i="7"/>
</calcChain>
</file>

<file path=xl/sharedStrings.xml><?xml version="1.0" encoding="utf-8"?>
<sst xmlns="http://schemas.openxmlformats.org/spreadsheetml/2006/main" count="576" uniqueCount="105">
  <si>
    <t>CONCERT: Rabbit A-EMv4.15-SAC (YR1/YR2) - UMB</t>
  </si>
  <si>
    <t>Please insert data from only 1 unit per Round</t>
  </si>
  <si>
    <t>Recipient rabbit ID:</t>
  </si>
  <si>
    <t>AEMv.4.15-SAC-01/ 201</t>
  </si>
  <si>
    <t>Exclude rabbit?</t>
  </si>
  <si>
    <t>Rabbit weight:</t>
  </si>
  <si>
    <t>Reason:</t>
  </si>
  <si>
    <t>Transfusion date:</t>
  </si>
  <si>
    <t>Bleed volume (mL):</t>
  </si>
  <si>
    <t>*Too many bubbles in the EM could only successfully pull 55 mls</t>
  </si>
  <si>
    <t>Transfusion volume (mL):</t>
  </si>
  <si>
    <t>COMPLETED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</si>
  <si>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</si>
  <si>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</si>
  <si>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</si>
  <si>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</si>
  <si>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</si>
  <si>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</si>
  <si>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</si>
  <si>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</si>
  <si>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</si>
  <si>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</si>
  <si>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</si>
  <si>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</si>
  <si>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</si>
  <si>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</si>
  <si>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Troponin</t>
  </si>
  <si>
    <t>Units &gt;</t>
  </si>
  <si>
    <t>mmHg</t>
  </si>
  <si>
    <t>bpm</t>
  </si>
  <si>
    <r>
      <rPr>
        <sz val="11"/>
        <color theme="1"/>
        <rFont val="Aptos Narrow"/>
        <family val="2"/>
      </rPr>
      <t>°</t>
    </r>
    <r>
      <rPr>
        <sz val="12.1"/>
        <color theme="1"/>
        <rFont val="Calibri"/>
        <family val="2"/>
      </rPr>
      <t>C</t>
    </r>
  </si>
  <si>
    <t>10^6/mm^3</t>
  </si>
  <si>
    <t xml:space="preserve">g/dL </t>
  </si>
  <si>
    <t>%</t>
  </si>
  <si>
    <t>10^3/mm^3</t>
  </si>
  <si>
    <t>uM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</si>
  <si>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</si>
  <si>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</si>
  <si>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</si>
  <si>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</si>
  <si>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</si>
  <si>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</si>
  <si>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</si>
  <si>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</si>
  <si>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</si>
  <si>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</si>
  <si>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pg/mL</t>
  </si>
  <si>
    <t>Timepoint</t>
  </si>
  <si>
    <t>Clock Time</t>
  </si>
  <si>
    <t>Measurement &gt;</t>
  </si>
  <si>
    <t>temp</t>
  </si>
  <si>
    <t>RBC</t>
  </si>
  <si>
    <t>Hb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</si>
  <si>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</si>
  <si>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</si>
  <si>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</si>
  <si>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</si>
  <si>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</si>
  <si>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</si>
  <si>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</si>
  <si>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</si>
  <si>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</si>
  <si>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</si>
  <si>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</si>
  <si>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</si>
  <si>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</si>
  <si>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</si>
  <si>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</si>
  <si>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</si>
  <si>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</si>
  <si>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R-Time</t>
  </si>
  <si>
    <t>K-Time</t>
  </si>
  <si>
    <t>Angle</t>
  </si>
  <si>
    <t>MA</t>
  </si>
  <si>
    <t>APTT</t>
  </si>
  <si>
    <t>PT</t>
  </si>
  <si>
    <t>TT</t>
  </si>
  <si>
    <t>Fib</t>
  </si>
  <si>
    <t>S100A11</t>
  </si>
  <si>
    <t>IL-6</t>
  </si>
  <si>
    <t>TNFa</t>
  </si>
  <si>
    <t>IL-8</t>
  </si>
  <si>
    <t>TF</t>
  </si>
  <si>
    <t>IL-1b</t>
  </si>
  <si>
    <t>S100B</t>
  </si>
  <si>
    <t>MCP-1</t>
  </si>
  <si>
    <t>SELP</t>
  </si>
  <si>
    <t>CST3</t>
  </si>
  <si>
    <t>TM</t>
  </si>
  <si>
    <t>VCAM1</t>
  </si>
  <si>
    <t>MYO</t>
  </si>
  <si>
    <t>vWF</t>
  </si>
  <si>
    <t>EDN1</t>
  </si>
  <si>
    <t>D2D</t>
  </si>
  <si>
    <t>C3a</t>
  </si>
  <si>
    <t>C5a</t>
  </si>
  <si>
    <t>Baseline</t>
  </si>
  <si>
    <t>R1</t>
  </si>
  <si>
    <t>EOS</t>
  </si>
  <si>
    <t>EOR</t>
  </si>
  <si>
    <t>1HR</t>
  </si>
  <si>
    <t>3HR</t>
  </si>
  <si>
    <t>6HR</t>
  </si>
  <si>
    <t>24HR</t>
  </si>
  <si>
    <t>A-EMv4.15-SAC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</si>
</sst>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2.1"/>
      <color theme="1"/>
      <name val="Calibri"/>
      <family val="2"/>
    </font>
    <font>
      <sz val="10"/>
      <color theme="1"/>
      <name val="Arial Unicode MS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F1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C0E4F5"/>
        <bgColor rgb="FF000000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2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49" fontId="6" fillId="0" borderId="0" xfId="0" applyNumberFormat="1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5" fillId="0" borderId="0" xfId="1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/>
      <protection locked="0"/>
    </xf>
    <xf numFmtId="0" fontId="5" fillId="3" borderId="9" xfId="0" applyFont="1" applyFill="1" applyBorder="1" applyAlignment="1" applyProtection="1">
      <alignment horizontal="center" vertical="center"/>
      <protection locked="0"/>
    </xf>
    <xf numFmtId="0" fontId="5" fillId="3" borderId="9" xfId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7" fillId="4" borderId="5" xfId="0" applyFont="1" applyFill="1" applyBorder="1" applyAlignment="1" applyProtection="1">
      <alignment horizontal="center"/>
      <protection locked="0"/>
    </xf>
    <xf numFmtId="0" fontId="5" fillId="4" borderId="5" xfId="0" applyFont="1" applyFill="1" applyBorder="1" applyAlignment="1" applyProtection="1">
      <alignment horizontal="center" vertical="center"/>
      <protection locked="0"/>
    </xf>
    <xf numFmtId="49" fontId="5" fillId="0" borderId="10" xfId="0" applyNumberFormat="1" applyFont="1" applyBorder="1" applyAlignment="1" applyProtection="1">
      <alignment horizontal="center" vertical="center"/>
      <protection locked="0"/>
    </xf>
    <xf numFmtId="18" fontId="1" fillId="0" borderId="0" xfId="1" applyNumberFormat="1" applyAlignment="1">
      <alignment horizontal="center"/>
    </xf>
    <xf numFmtId="0" fontId="6" fillId="0" borderId="10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 applyAlignment="1" applyProtection="1">
      <alignment horizontal="left"/>
      <protection locked="0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18" fontId="1" fillId="6" borderId="0" xfId="1" applyNumberFormat="1" applyFill="1" applyAlignment="1">
      <alignment horizontal="center"/>
    </xf>
    <xf numFmtId="0" fontId="13" fillId="0" borderId="0" xfId="0" applyFont="1"/>
    <xf numFmtId="0" fontId="14" fillId="7" borderId="5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 wrapText="1"/>
      <protection locked="0"/>
    </xf>
    <xf numFmtId="0" fontId="4" fillId="2" borderId="8" xfId="0" applyFont="1" applyFill="1" applyBorder="1" applyAlignment="1" applyProtection="1">
      <alignment horizontal="center" wrapText="1"/>
      <protection locked="0"/>
    </xf>
    <xf numFmtId="164" fontId="4" fillId="2" borderId="7" xfId="0" applyNumberFormat="1" applyFont="1" applyFill="1" applyBorder="1" applyAlignment="1" applyProtection="1">
      <alignment horizontal="center"/>
      <protection locked="0"/>
    </xf>
    <xf numFmtId="164" fontId="4" fillId="2" borderId="8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/>
      <protection locked="0"/>
    </xf>
    <xf numFmtId="16" fontId="4" fillId="2" borderId="7" xfId="0" applyNumberFormat="1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14" fillId="8" borderId="5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D876B1BC-0194-4C43-9A9B-48801617CCE7}"/>
  </cellStyles>
  <dxfs count="6"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1EFC-3BEA-4143-BDF6-B528882100B8}">
  <dimension ref="A1:BA26"/>
  <sheetViews>
    <sheetView topLeftCell="AL1" workbookViewId="0">
      <selection activeCell="BC15" sqref="BC15"/>
    </sheetView>
  </sheetViews>
  <sheetFormatPr baseColWidth="10" defaultColWidth="8.83203125" defaultRowHeight="15" x14ac:dyDescent="0.2"/>
  <cols>
    <col min="1" max="1" width="29" bestFit="1" customWidth="1"/>
    <col min="2" max="2" width="10.5" bestFit="1" customWidth="1"/>
    <col min="3" max="3" width="15.1640625" bestFit="1" customWidth="1"/>
    <col min="4" max="4" width="11.6640625" bestFit="1" customWidth="1"/>
    <col min="5" max="5" width="16.1640625" bestFit="1" customWidth="1"/>
    <col min="6" max="6" width="27.33203125" customWidth="1"/>
    <col min="7" max="11" width="11.6640625" bestFit="1" customWidth="1"/>
    <col min="12" max="13" width="11.164062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640625" bestFit="1" customWidth="1"/>
    <col min="38" max="38" width="12.6640625" bestFit="1" customWidth="1"/>
    <col min="39" max="39" width="11.5" bestFit="1" customWidth="1"/>
    <col min="40" max="40" width="14" bestFit="1" customWidth="1"/>
    <col min="41" max="41" width="14.83203125" bestFit="1" customWidth="1"/>
    <col min="42" max="42" width="15.5" bestFit="1" customWidth="1"/>
    <col min="43" max="43" width="13.6640625" bestFit="1" customWidth="1"/>
    <col min="44" max="44" width="13.83203125" bestFit="1" customWidth="1"/>
    <col min="45" max="45" width="12.5" bestFit="1" customWidth="1"/>
    <col min="46" max="46" width="16.33203125" bestFit="1" customWidth="1"/>
    <col min="47" max="47" width="14.1640625" bestFit="1" customWidth="1"/>
    <col min="48" max="48" width="13.6640625" bestFit="1" customWidth="1"/>
    <col min="49" max="49" width="14.5" bestFit="1" customWidth="1"/>
    <col min="50" max="50" width="13.33203125" bestFit="1" customWidth="1"/>
    <col min="51" max="52" width="11.1640625" bestFit="1" customWidth="1"/>
    <col min="53" max="53" width="15.5" customWidth="1"/>
  </cols>
  <sheetData>
    <row r="1" spans="1:53" ht="26" x14ac:dyDescent="0.3">
      <c r="A1" s="37" t="s">
        <v>0</v>
      </c>
      <c r="B1" s="38"/>
      <c r="C1" s="38"/>
      <c r="D1" s="38"/>
      <c r="E1" s="38"/>
      <c r="F1" s="39"/>
      <c r="G1" s="37" t="s">
        <v>1</v>
      </c>
      <c r="H1" s="38"/>
      <c r="I1" s="38"/>
      <c r="J1" s="38"/>
      <c r="K1" s="38"/>
      <c r="L1" s="38"/>
      <c r="M1" s="3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3" ht="26" x14ac:dyDescent="0.3">
      <c r="A2" s="40"/>
      <c r="B2" s="41"/>
      <c r="C2" s="41"/>
      <c r="D2" s="41"/>
      <c r="E2" s="41"/>
      <c r="F2" s="42"/>
      <c r="G2" s="40"/>
      <c r="H2" s="41"/>
      <c r="I2" s="41"/>
      <c r="J2" s="41"/>
      <c r="K2" s="41"/>
      <c r="L2" s="41"/>
      <c r="M2" s="4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3" ht="26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3" ht="26" x14ac:dyDescent="0.3">
      <c r="A4" s="4" t="s">
        <v>2</v>
      </c>
      <c r="B4" s="43" t="s">
        <v>3</v>
      </c>
      <c r="C4" s="44"/>
      <c r="D4" s="5"/>
      <c r="E4" s="4" t="s">
        <v>4</v>
      </c>
      <c r="F4" s="45"/>
      <c r="G4" s="4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3" ht="26" x14ac:dyDescent="0.3">
      <c r="A5" s="4" t="s">
        <v>5</v>
      </c>
      <c r="B5" s="43">
        <v>1.9</v>
      </c>
      <c r="C5" s="44"/>
      <c r="D5" s="5"/>
      <c r="E5" s="4" t="s">
        <v>6</v>
      </c>
      <c r="F5" s="47"/>
      <c r="G5" s="4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3" ht="26" x14ac:dyDescent="0.3">
      <c r="A6" s="4" t="s">
        <v>7</v>
      </c>
      <c r="B6" s="51">
        <v>45876</v>
      </c>
      <c r="C6" s="44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3" ht="26" x14ac:dyDescent="0.3">
      <c r="A7" s="4" t="s">
        <v>8</v>
      </c>
      <c r="B7" s="43">
        <v>60</v>
      </c>
      <c r="C7" s="44"/>
      <c r="D7" s="5"/>
      <c r="E7" s="5" t="s">
        <v>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3" ht="26" x14ac:dyDescent="0.3">
      <c r="A8" s="4" t="s">
        <v>10</v>
      </c>
      <c r="B8" s="43">
        <v>55</v>
      </c>
      <c r="C8" s="44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3" x14ac:dyDescent="0.2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8"/>
      <c r="R9" s="8"/>
      <c r="S9" s="8"/>
      <c r="T9" s="8"/>
      <c r="U9" s="8"/>
      <c r="V9" s="8"/>
      <c r="X9" s="8"/>
      <c r="Y9" s="8"/>
      <c r="Z9" s="8"/>
      <c r="AA9" s="8"/>
      <c r="AB9" s="8"/>
      <c r="AC9" s="8"/>
      <c r="AD9" s="9"/>
      <c r="AE9" s="9"/>
      <c r="AF9" s="9"/>
      <c r="AG9" s="9"/>
    </row>
    <row r="10" spans="1:53" x14ac:dyDescent="0.2">
      <c r="A10" s="6"/>
      <c r="B10" s="10"/>
      <c r="C10" s="11"/>
      <c r="D10" s="12" t="s">
        <v>11</v>
      </c>
      <c r="E10" s="12" t="s">
        <v>11</v>
      </c>
      <c r="F10" s="12" t="s">
        <v>11</v>
      </c>
      <c r="G10" s="12" t="s">
        <v>11</v>
      </c>
      <c r="H10" s="12" t="s">
        <v>11</v>
      </c>
      <c r="I10" s="12" t="s">
        <v>11</v>
      </c>
      <c r="J10" s="12" t="s">
        <v>11</v>
      </c>
      <c r="K10" s="12" t="s">
        <v>11</v>
      </c>
      <c r="L10" s="12" t="s">
        <v>12</v>
      </c>
      <c r="M10" s="12" t="s">
        <v>12</v>
      </c>
      <c r="N10" s="12" t="s">
        <v>11</v>
      </c>
      <c r="O10" s="12" t="s">
        <v>11</v>
      </c>
      <c r="P10" s="12" t="s">
        <v>11</v>
      </c>
      <c r="Q10" s="12" t="s">
        <v>11</v>
      </c>
      <c r="R10" s="12" t="s">
        <v>11</v>
      </c>
      <c r="S10" s="12" t="s">
        <v>11</v>
      </c>
      <c r="T10" s="12" t="s">
        <v>11</v>
      </c>
      <c r="U10" s="12" t="s">
        <v>11</v>
      </c>
      <c r="V10" s="12" t="s">
        <v>11</v>
      </c>
      <c r="W10" s="12" t="s">
        <v>11</v>
      </c>
      <c r="X10" s="12" t="s">
        <v>11</v>
      </c>
      <c r="Y10" s="12" t="s">
        <v>11</v>
      </c>
      <c r="Z10" s="12" t="s">
        <v>11</v>
      </c>
      <c r="AA10" s="12" t="s">
        <v>11</v>
      </c>
      <c r="AB10" s="12" t="s">
        <v>11</v>
      </c>
      <c r="AC10" s="12" t="s">
        <v>11</v>
      </c>
      <c r="AD10" s="12" t="s">
        <v>11</v>
      </c>
      <c r="AE10" s="12" t="s">
        <v>12</v>
      </c>
      <c r="AF10" s="12" t="s">
        <v>12</v>
      </c>
      <c r="AG10" s="12" t="s">
        <v>12</v>
      </c>
      <c r="AH10" s="12" t="s">
        <v>12</v>
      </c>
      <c r="AI10" s="12" t="s">
        <v>12</v>
      </c>
      <c r="AJ10" s="12" t="s">
        <v>12</v>
      </c>
      <c r="AK10" s="12" t="s">
        <v>12</v>
      </c>
      <c r="AL10" s="12" t="s">
        <v>12</v>
      </c>
      <c r="AM10" s="12" t="s">
        <v>12</v>
      </c>
      <c r="AN10" s="12" t="s">
        <v>12</v>
      </c>
      <c r="AO10" s="12" t="s">
        <v>12</v>
      </c>
      <c r="AP10" s="12" t="s">
        <v>12</v>
      </c>
      <c r="AQ10" s="12" t="s">
        <v>12</v>
      </c>
      <c r="AR10" s="12" t="s">
        <v>12</v>
      </c>
      <c r="AS10" s="12" t="s">
        <v>12</v>
      </c>
      <c r="AT10" s="12" t="s">
        <v>12</v>
      </c>
      <c r="AU10" s="12" t="s">
        <v>12</v>
      </c>
      <c r="AV10" s="12" t="s">
        <v>12</v>
      </c>
      <c r="AW10" s="12" t="s">
        <v>12</v>
      </c>
      <c r="AX10" s="12" t="s">
        <v>12</v>
      </c>
      <c r="AY10" s="12" t="s">
        <v>12</v>
      </c>
      <c r="AZ10" s="12" t="s">
        <v>12</v>
      </c>
      <c r="BA10" s="12" t="s">
        <v>11</v>
      </c>
    </row>
    <row r="11" spans="1:53" x14ac:dyDescent="0.2">
      <c r="A11" s="6"/>
      <c r="B11" s="10"/>
      <c r="C11" s="11" t="s">
        <v>13</v>
      </c>
      <c r="D11" s="11" t="s">
        <v>14</v>
      </c>
      <c r="E11" s="11" t="s">
        <v>15</v>
      </c>
      <c r="F11" s="11" t="s">
        <v>16</v>
      </c>
      <c r="G11" s="49" t="s">
        <v>17</v>
      </c>
      <c r="H11" s="49"/>
      <c r="I11" s="49"/>
      <c r="J11" s="49"/>
      <c r="K11" s="49"/>
      <c r="L11" s="13" t="s">
        <v>18</v>
      </c>
      <c r="M11" s="13" t="s">
        <v>19</v>
      </c>
      <c r="N11" s="52" t="s">
        <v>20</v>
      </c>
      <c r="O11" s="52"/>
      <c r="P11" s="52"/>
      <c r="Q11" s="52"/>
      <c r="R11" s="53" t="s">
        <v>21</v>
      </c>
      <c r="S11" s="53"/>
      <c r="T11" s="53"/>
      <c r="U11" s="53"/>
      <c r="V11" s="53"/>
      <c r="W11" s="53"/>
      <c r="X11" s="53"/>
      <c r="Y11" s="53"/>
      <c r="Z11" s="53"/>
      <c r="AA11" s="49" t="s">
        <v>22</v>
      </c>
      <c r="AB11" s="49"/>
      <c r="AC11" s="49"/>
      <c r="AD11" s="49"/>
      <c r="AE11" s="49" t="s">
        <v>23</v>
      </c>
      <c r="AF11" s="49"/>
      <c r="AG11" s="49"/>
      <c r="AH11" s="49"/>
      <c r="AI11" s="50" t="s">
        <v>24</v>
      </c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 t="s">
        <v>25</v>
      </c>
      <c r="AZ11" s="50"/>
      <c r="BA11" s="30" t="s">
        <v>26</v>
      </c>
    </row>
    <row r="12" spans="1:53" ht="16" x14ac:dyDescent="0.2">
      <c r="A12" s="13"/>
      <c r="B12" s="14"/>
      <c r="C12" s="15" t="s">
        <v>27</v>
      </c>
      <c r="D12" s="16" t="s">
        <v>28</v>
      </c>
      <c r="E12" s="16" t="s">
        <v>29</v>
      </c>
      <c r="F12" s="16" t="s">
        <v>30</v>
      </c>
      <c r="G12" s="17" t="s">
        <v>31</v>
      </c>
      <c r="H12" s="17" t="s">
        <v>32</v>
      </c>
      <c r="I12" s="17" t="s">
        <v>33</v>
      </c>
      <c r="J12" s="17" t="s">
        <v>34</v>
      </c>
      <c r="K12" s="17" t="s">
        <v>34</v>
      </c>
      <c r="L12" s="17" t="s">
        <v>35</v>
      </c>
      <c r="M12" s="17" t="s">
        <v>33</v>
      </c>
      <c r="N12" s="17" t="s">
        <v>36</v>
      </c>
      <c r="O12" s="17" t="s">
        <v>37</v>
      </c>
      <c r="P12" s="17" t="s">
        <v>28</v>
      </c>
      <c r="Q12" s="17" t="s">
        <v>28</v>
      </c>
      <c r="R12" s="17" t="s">
        <v>38</v>
      </c>
      <c r="S12" s="17" t="s">
        <v>38</v>
      </c>
      <c r="T12" s="17" t="s">
        <v>38</v>
      </c>
      <c r="U12" s="17" t="s">
        <v>39</v>
      </c>
      <c r="V12" s="17" t="s">
        <v>39</v>
      </c>
      <c r="W12" s="17" t="s">
        <v>38</v>
      </c>
      <c r="X12" s="17" t="s">
        <v>39</v>
      </c>
      <c r="Y12" s="17" t="s">
        <v>39</v>
      </c>
      <c r="Z12" s="17" t="s">
        <v>38</v>
      </c>
      <c r="AA12" s="17" t="s">
        <v>40</v>
      </c>
      <c r="AB12" s="17" t="s">
        <v>40</v>
      </c>
      <c r="AC12" s="17" t="s">
        <v>41</v>
      </c>
      <c r="AD12" s="17" t="s">
        <v>42</v>
      </c>
      <c r="AE12" s="17" t="s">
        <v>43</v>
      </c>
      <c r="AF12" s="17" t="s">
        <v>43</v>
      </c>
      <c r="AG12" s="17" t="s">
        <v>43</v>
      </c>
      <c r="AH12" s="17" t="s">
        <v>44</v>
      </c>
      <c r="AI12" s="18" t="s">
        <v>45</v>
      </c>
      <c r="AJ12" s="18" t="s">
        <v>45</v>
      </c>
      <c r="AK12" s="18" t="s">
        <v>45</v>
      </c>
      <c r="AL12" s="18" t="s">
        <v>45</v>
      </c>
      <c r="AM12" s="18" t="s">
        <v>45</v>
      </c>
      <c r="AN12" s="18" t="s">
        <v>45</v>
      </c>
      <c r="AO12" s="18" t="s">
        <v>45</v>
      </c>
      <c r="AP12" s="18" t="s">
        <v>45</v>
      </c>
      <c r="AQ12" s="18" t="s">
        <v>45</v>
      </c>
      <c r="AR12" s="18" t="s">
        <v>45</v>
      </c>
      <c r="AS12" s="18" t="s">
        <v>45</v>
      </c>
      <c r="AT12" s="18" t="s">
        <v>45</v>
      </c>
      <c r="AU12" s="18" t="s">
        <v>45</v>
      </c>
      <c r="AV12" s="18" t="s">
        <v>45</v>
      </c>
      <c r="AW12" s="18" t="s">
        <v>45</v>
      </c>
      <c r="AX12" s="18" t="s">
        <v>45</v>
      </c>
      <c r="AY12" s="17" t="s">
        <v>45</v>
      </c>
      <c r="AZ12" s="17" t="s">
        <v>45</v>
      </c>
      <c r="BA12" s="31" t="s">
        <v>46</v>
      </c>
    </row>
    <row r="13" spans="1:53" ht="16" thickBot="1" x14ac:dyDescent="0.25">
      <c r="A13" s="19" t="s">
        <v>47</v>
      </c>
      <c r="B13" s="20" t="s">
        <v>48</v>
      </c>
      <c r="C13" s="19" t="s">
        <v>49</v>
      </c>
      <c r="D13" s="19" t="s">
        <v>14</v>
      </c>
      <c r="E13" s="19" t="s">
        <v>29</v>
      </c>
      <c r="F13" s="19" t="s">
        <v>50</v>
      </c>
      <c r="G13" s="19" t="s">
        <v>51</v>
      </c>
      <c r="H13" s="19" t="s">
        <v>52</v>
      </c>
      <c r="I13" s="21" t="s">
        <v>53</v>
      </c>
      <c r="J13" s="21" t="s">
        <v>54</v>
      </c>
      <c r="K13" s="21" t="s">
        <v>55</v>
      </c>
      <c r="L13" s="21" t="s">
        <v>56</v>
      </c>
      <c r="M13" s="21" t="s">
        <v>19</v>
      </c>
      <c r="N13" s="21" t="s">
        <v>57</v>
      </c>
      <c r="O13" s="21" t="s">
        <v>58</v>
      </c>
      <c r="P13" s="21" t="s">
        <v>59</v>
      </c>
      <c r="Q13" s="21" t="s">
        <v>60</v>
      </c>
      <c r="R13" s="22" t="s">
        <v>61</v>
      </c>
      <c r="S13" s="23" t="s">
        <v>62</v>
      </c>
      <c r="T13" s="23" t="s">
        <v>63</v>
      </c>
      <c r="U13" s="23" t="s">
        <v>64</v>
      </c>
      <c r="V13" s="23" t="s">
        <v>65</v>
      </c>
      <c r="W13" s="23" t="s">
        <v>66</v>
      </c>
      <c r="X13" s="23" t="s">
        <v>67</v>
      </c>
      <c r="Y13" s="23" t="s">
        <v>68</v>
      </c>
      <c r="Z13" s="23" t="s">
        <v>69</v>
      </c>
      <c r="AA13" s="35" t="s">
        <v>70</v>
      </c>
      <c r="AB13" s="35" t="s">
        <v>71</v>
      </c>
      <c r="AC13" s="35" t="s">
        <v>72</v>
      </c>
      <c r="AD13" s="35" t="s">
        <v>73</v>
      </c>
      <c r="AE13" s="23" t="s">
        <v>74</v>
      </c>
      <c r="AF13" s="22" t="s">
        <v>75</v>
      </c>
      <c r="AG13" s="22" t="s">
        <v>76</v>
      </c>
      <c r="AH13" s="22" t="s">
        <v>77</v>
      </c>
      <c r="AI13" s="36" t="s">
        <v>78</v>
      </c>
      <c r="AJ13" s="36" t="s">
        <v>79</v>
      </c>
      <c r="AK13" s="36" t="s">
        <v>80</v>
      </c>
      <c r="AL13" s="36" t="s">
        <v>81</v>
      </c>
      <c r="AM13" s="36" t="s">
        <v>82</v>
      </c>
      <c r="AN13" s="36" t="s">
        <v>83</v>
      </c>
      <c r="AO13" s="36" t="s">
        <v>84</v>
      </c>
      <c r="AP13" s="36" t="s">
        <v>85</v>
      </c>
      <c r="AQ13" s="36" t="s">
        <v>86</v>
      </c>
      <c r="AR13" s="36" t="s">
        <v>87</v>
      </c>
      <c r="AS13" s="36" t="s">
        <v>88</v>
      </c>
      <c r="AT13" s="36" t="s">
        <v>89</v>
      </c>
      <c r="AU13" s="36" t="s">
        <v>90</v>
      </c>
      <c r="AV13" s="36" t="s">
        <v>91</v>
      </c>
      <c r="AW13" s="36" t="s">
        <v>92</v>
      </c>
      <c r="AX13" s="36" t="s">
        <v>93</v>
      </c>
      <c r="AY13" s="22" t="s">
        <v>94</v>
      </c>
      <c r="AZ13" s="22" t="s">
        <v>95</v>
      </c>
      <c r="BA13" s="32" t="s">
        <v>26</v>
      </c>
    </row>
    <row r="14" spans="1:53" ht="16" x14ac:dyDescent="0.2">
      <c r="A14" s="24" t="s">
        <v>96</v>
      </c>
      <c r="B14" s="25">
        <v>0.35972222222222222</v>
      </c>
      <c r="C14" s="13" t="s">
        <v>97</v>
      </c>
      <c r="D14" s="13">
        <v>71</v>
      </c>
      <c r="E14" s="13">
        <v>303</v>
      </c>
      <c r="F14" s="13">
        <v>39</v>
      </c>
      <c r="G14" s="26">
        <v>5.94</v>
      </c>
      <c r="H14" s="26">
        <v>12</v>
      </c>
      <c r="I14" s="17">
        <v>37.1</v>
      </c>
      <c r="J14" s="17">
        <v>103</v>
      </c>
      <c r="K14" s="17">
        <v>6.8</v>
      </c>
      <c r="L14" s="17"/>
      <c r="M14" s="27">
        <f>(L14/(((H14*10)/64500)*10^6))*100</f>
        <v>0</v>
      </c>
      <c r="N14" s="27">
        <v>1.3</v>
      </c>
      <c r="O14" s="27">
        <v>7.4729999999999999</v>
      </c>
      <c r="P14" s="27">
        <v>39.4</v>
      </c>
      <c r="Q14" s="27">
        <v>72</v>
      </c>
      <c r="R14" s="17">
        <v>61</v>
      </c>
      <c r="S14" s="28">
        <v>71</v>
      </c>
      <c r="T14" s="17">
        <v>327</v>
      </c>
      <c r="U14" s="17">
        <v>0.92</v>
      </c>
      <c r="V14" s="17">
        <v>13.47</v>
      </c>
      <c r="W14" s="17">
        <v>408</v>
      </c>
      <c r="X14" s="17">
        <v>870</v>
      </c>
      <c r="Y14" s="17">
        <v>150.04</v>
      </c>
      <c r="Z14" s="17">
        <v>2</v>
      </c>
      <c r="AA14" s="17">
        <v>11.2</v>
      </c>
      <c r="AB14" s="17">
        <v>2.2000000000000002</v>
      </c>
      <c r="AC14" s="17">
        <v>61.5</v>
      </c>
      <c r="AD14" s="17">
        <v>65</v>
      </c>
      <c r="AE14" s="17"/>
      <c r="AF14" s="9"/>
      <c r="AG14" s="9"/>
      <c r="AH14" s="9"/>
      <c r="AZ14" s="34">
        <v>430.41</v>
      </c>
      <c r="BA14">
        <v>30.23</v>
      </c>
    </row>
    <row r="15" spans="1:53" ht="16" x14ac:dyDescent="0.2">
      <c r="A15" s="15" t="s">
        <v>98</v>
      </c>
      <c r="B15" s="25">
        <v>0.45555555555555555</v>
      </c>
      <c r="C15" s="13" t="s">
        <v>97</v>
      </c>
      <c r="D15" s="13">
        <v>49</v>
      </c>
      <c r="E15" s="13">
        <v>306</v>
      </c>
      <c r="F15" s="13">
        <v>36</v>
      </c>
      <c r="G15" s="17">
        <v>3.62</v>
      </c>
      <c r="H15" s="17">
        <v>7.4</v>
      </c>
      <c r="I15" s="17">
        <v>21.9</v>
      </c>
      <c r="J15" s="17">
        <v>191</v>
      </c>
      <c r="K15" s="17">
        <v>3</v>
      </c>
      <c r="L15" s="17"/>
      <c r="M15" s="27">
        <f t="shared" ref="M15:M20" si="0">(L15/(((H15*10)/64500)*10^6))*100</f>
        <v>0</v>
      </c>
      <c r="N15" s="27">
        <v>14.2</v>
      </c>
      <c r="O15" s="27">
        <v>7.3479999999999999</v>
      </c>
      <c r="P15" s="27">
        <v>30</v>
      </c>
      <c r="Q15" s="27">
        <v>98.7</v>
      </c>
      <c r="R15" s="17">
        <v>110</v>
      </c>
      <c r="S15" s="17">
        <v>60</v>
      </c>
      <c r="T15" s="17">
        <v>151</v>
      </c>
      <c r="U15" s="17">
        <v>1.23</v>
      </c>
      <c r="V15" s="17">
        <v>17.3</v>
      </c>
      <c r="W15" s="17">
        <v>339</v>
      </c>
      <c r="X15" s="17">
        <v>158.34</v>
      </c>
      <c r="Y15" s="17">
        <v>540.6</v>
      </c>
      <c r="Z15" s="17">
        <v>3</v>
      </c>
      <c r="AA15" s="17">
        <v>28.2</v>
      </c>
      <c r="AB15" s="17">
        <v>8.1999999999999993</v>
      </c>
      <c r="AC15" s="17">
        <v>25.4</v>
      </c>
      <c r="AD15" s="17">
        <v>59.5</v>
      </c>
      <c r="AE15" s="17"/>
      <c r="AF15" s="9"/>
      <c r="AG15" s="9"/>
      <c r="AH15" s="9"/>
      <c r="AZ15" s="34">
        <v>385.38</v>
      </c>
      <c r="BA15">
        <v>28.89</v>
      </c>
    </row>
    <row r="16" spans="1:53" ht="16" x14ac:dyDescent="0.2">
      <c r="A16" s="15" t="s">
        <v>99</v>
      </c>
      <c r="B16" s="25">
        <v>0.46250000000000002</v>
      </c>
      <c r="C16" s="13" t="s">
        <v>97</v>
      </c>
      <c r="D16" s="13">
        <v>88</v>
      </c>
      <c r="E16" s="13">
        <v>254</v>
      </c>
      <c r="F16" s="13">
        <v>36</v>
      </c>
      <c r="G16" s="17">
        <v>2.15</v>
      </c>
      <c r="H16" s="17">
        <v>12.8</v>
      </c>
      <c r="I16" s="17">
        <v>12.7</v>
      </c>
      <c r="J16" s="17">
        <v>1125</v>
      </c>
      <c r="K16" s="17">
        <v>18.2</v>
      </c>
      <c r="L16" s="17"/>
      <c r="M16" s="27">
        <f t="shared" si="0"/>
        <v>0</v>
      </c>
      <c r="N16" s="27">
        <v>11.6</v>
      </c>
      <c r="O16" s="27">
        <v>7.2770000000000001</v>
      </c>
      <c r="P16" s="27">
        <v>33.299999999999997</v>
      </c>
      <c r="Q16" s="27">
        <v>92.5</v>
      </c>
      <c r="R16" s="17">
        <v>116</v>
      </c>
      <c r="S16" s="17">
        <v>50</v>
      </c>
      <c r="T16" s="17">
        <v>181</v>
      </c>
      <c r="U16" s="17">
        <v>0.97</v>
      </c>
      <c r="V16" s="17">
        <v>18.21</v>
      </c>
      <c r="W16" s="17">
        <v>232</v>
      </c>
      <c r="X16" s="17">
        <v>65.12</v>
      </c>
      <c r="Y16" s="17">
        <v>403.97</v>
      </c>
      <c r="Z16" s="17">
        <v>2</v>
      </c>
      <c r="AA16" s="17">
        <v>30.8</v>
      </c>
      <c r="AB16" s="17">
        <v>16.2</v>
      </c>
      <c r="AC16" s="17">
        <v>13.4</v>
      </c>
      <c r="AD16" s="17">
        <v>28.5</v>
      </c>
      <c r="AE16" s="17"/>
      <c r="AF16" s="9"/>
      <c r="AG16" s="9"/>
      <c r="AH16" s="9"/>
      <c r="AZ16" s="34"/>
      <c r="BA16">
        <v>26.43</v>
      </c>
    </row>
    <row r="17" spans="1:53" ht="16" x14ac:dyDescent="0.2">
      <c r="A17" s="15" t="s">
        <v>100</v>
      </c>
      <c r="B17" s="25">
        <v>0.50416666666666665</v>
      </c>
      <c r="C17" s="13" t="s">
        <v>97</v>
      </c>
      <c r="D17" s="13">
        <v>62</v>
      </c>
      <c r="E17" s="13">
        <v>328</v>
      </c>
      <c r="F17" s="13">
        <v>37</v>
      </c>
      <c r="G17" s="17">
        <v>2.08</v>
      </c>
      <c r="H17" s="17">
        <v>12</v>
      </c>
      <c r="I17" s="17">
        <v>12.4</v>
      </c>
      <c r="J17" s="17">
        <v>932</v>
      </c>
      <c r="K17" s="17">
        <v>8.6</v>
      </c>
      <c r="L17" s="17"/>
      <c r="M17" s="27">
        <f t="shared" si="0"/>
        <v>0</v>
      </c>
      <c r="N17" s="27">
        <v>5.5</v>
      </c>
      <c r="O17" s="27">
        <v>7.4580000000000002</v>
      </c>
      <c r="P17" s="27">
        <v>34.200000000000003</v>
      </c>
      <c r="Q17" s="27">
        <v>87</v>
      </c>
      <c r="R17" s="17">
        <v>106</v>
      </c>
      <c r="S17" s="17">
        <v>48</v>
      </c>
      <c r="T17" s="17">
        <v>172</v>
      </c>
      <c r="U17" s="17">
        <v>0.97</v>
      </c>
      <c r="V17" s="17">
        <v>18.14</v>
      </c>
      <c r="W17" s="17">
        <v>222</v>
      </c>
      <c r="X17" s="17">
        <v>68.27</v>
      </c>
      <c r="Y17" s="17">
        <v>405.9</v>
      </c>
      <c r="Z17" s="17">
        <v>2</v>
      </c>
      <c r="AA17" s="17">
        <v>21.2</v>
      </c>
      <c r="AB17" s="17">
        <v>4.2</v>
      </c>
      <c r="AC17" s="17">
        <v>39</v>
      </c>
      <c r="AD17" s="17">
        <v>47.4</v>
      </c>
      <c r="AE17" s="17"/>
      <c r="AF17" s="9"/>
      <c r="AG17" s="9"/>
      <c r="AH17" s="9"/>
      <c r="AZ17" s="34"/>
      <c r="BA17">
        <v>26.14</v>
      </c>
    </row>
    <row r="18" spans="1:53" ht="16" x14ac:dyDescent="0.2">
      <c r="A18" s="15" t="s">
        <v>101</v>
      </c>
      <c r="B18" s="25">
        <v>0.58750000000000002</v>
      </c>
      <c r="C18" s="13" t="s">
        <v>97</v>
      </c>
      <c r="D18" s="13">
        <v>89</v>
      </c>
      <c r="E18" s="13">
        <v>304</v>
      </c>
      <c r="F18" s="13">
        <v>41</v>
      </c>
      <c r="G18" s="17">
        <v>2.52</v>
      </c>
      <c r="H18" s="17">
        <v>12.7</v>
      </c>
      <c r="I18" s="17">
        <v>15.3</v>
      </c>
      <c r="J18" s="17">
        <v>692</v>
      </c>
      <c r="K18" s="17">
        <v>2.8</v>
      </c>
      <c r="L18" s="17"/>
      <c r="M18" s="27">
        <f t="shared" si="0"/>
        <v>0</v>
      </c>
      <c r="N18" s="27">
        <v>5</v>
      </c>
      <c r="O18" s="27">
        <v>7.5970000000000004</v>
      </c>
      <c r="P18" s="27">
        <v>21.5</v>
      </c>
      <c r="Q18" s="27">
        <v>84.5</v>
      </c>
      <c r="R18" s="17">
        <v>169</v>
      </c>
      <c r="S18" s="17">
        <v>63</v>
      </c>
      <c r="T18" s="17">
        <v>214</v>
      </c>
      <c r="U18" s="17">
        <v>0.82</v>
      </c>
      <c r="V18" s="17">
        <v>22.74</v>
      </c>
      <c r="W18" s="17">
        <v>331</v>
      </c>
      <c r="X18" s="17">
        <v>149.75</v>
      </c>
      <c r="Y18" s="17">
        <v>203.5</v>
      </c>
      <c r="Z18" s="17">
        <v>2</v>
      </c>
      <c r="AA18" s="17">
        <v>16.8</v>
      </c>
      <c r="AB18" s="17">
        <v>3.3</v>
      </c>
      <c r="AC18" s="17">
        <v>25.7</v>
      </c>
      <c r="AD18" s="17">
        <v>54</v>
      </c>
      <c r="AE18" s="17"/>
      <c r="AF18" s="9"/>
      <c r="AG18" s="9"/>
      <c r="AH18" s="9"/>
      <c r="AZ18" s="34">
        <v>471.35</v>
      </c>
      <c r="BA18">
        <v>28.13</v>
      </c>
    </row>
    <row r="19" spans="1:53" ht="16" x14ac:dyDescent="0.2">
      <c r="A19" s="15" t="s">
        <v>102</v>
      </c>
      <c r="B19" s="33">
        <v>0.71250000000000002</v>
      </c>
      <c r="C19" s="13" t="s">
        <v>97</v>
      </c>
      <c r="D19" s="13">
        <v>88</v>
      </c>
      <c r="E19" s="13">
        <v>302</v>
      </c>
      <c r="F19" s="13">
        <v>42</v>
      </c>
      <c r="G19" s="17">
        <v>2.4</v>
      </c>
      <c r="H19" s="17">
        <v>11.9</v>
      </c>
      <c r="I19" s="17">
        <v>14.6</v>
      </c>
      <c r="J19" s="17">
        <v>361</v>
      </c>
      <c r="K19" s="17">
        <v>0.9</v>
      </c>
      <c r="L19" s="17"/>
      <c r="M19" s="27">
        <f t="shared" si="0"/>
        <v>0</v>
      </c>
      <c r="N19" s="27">
        <v>3.2</v>
      </c>
      <c r="O19" s="27">
        <v>7.6059999999999999</v>
      </c>
      <c r="P19" s="27">
        <v>21.4</v>
      </c>
      <c r="Q19" s="27">
        <v>82.2</v>
      </c>
      <c r="R19" s="17">
        <v>466</v>
      </c>
      <c r="S19" s="17">
        <v>98</v>
      </c>
      <c r="T19" s="17">
        <v>326</v>
      </c>
      <c r="U19" s="17">
        <v>0.86</v>
      </c>
      <c r="V19" s="17">
        <v>22.54</v>
      </c>
      <c r="W19" s="17">
        <v>340</v>
      </c>
      <c r="X19" s="17">
        <v>350.1</v>
      </c>
      <c r="Y19" s="17">
        <v>147.68</v>
      </c>
      <c r="Z19" s="17">
        <v>2</v>
      </c>
      <c r="AA19" s="17">
        <v>19</v>
      </c>
      <c r="AB19" s="17">
        <v>5.0999999999999996</v>
      </c>
      <c r="AC19" s="17">
        <v>38</v>
      </c>
      <c r="AD19" s="17">
        <v>56.1</v>
      </c>
      <c r="AE19" s="17"/>
      <c r="AF19" s="9"/>
      <c r="AG19" s="9"/>
      <c r="AH19" s="9"/>
      <c r="AZ19" s="34"/>
      <c r="BA19">
        <v>27.08</v>
      </c>
    </row>
    <row r="20" spans="1:53" ht="16" x14ac:dyDescent="0.2">
      <c r="A20" s="15" t="s">
        <v>103</v>
      </c>
      <c r="B20" s="25">
        <v>0.46250000000000002</v>
      </c>
      <c r="C20" s="13" t="s">
        <v>97</v>
      </c>
      <c r="D20" s="13">
        <v>83</v>
      </c>
      <c r="E20" s="13">
        <v>309</v>
      </c>
      <c r="F20" s="13">
        <v>40</v>
      </c>
      <c r="G20" s="17">
        <v>2.9</v>
      </c>
      <c r="H20" s="17">
        <v>12.5</v>
      </c>
      <c r="I20" s="17">
        <v>17.100000000000001</v>
      </c>
      <c r="J20" s="17">
        <v>144</v>
      </c>
      <c r="K20" s="17">
        <v>6.7</v>
      </c>
      <c r="L20" s="17"/>
      <c r="M20" s="27">
        <f t="shared" si="0"/>
        <v>0</v>
      </c>
      <c r="N20" s="27">
        <v>3</v>
      </c>
      <c r="O20" s="27">
        <v>7.5140000000000002</v>
      </c>
      <c r="P20" s="27">
        <v>27</v>
      </c>
      <c r="Q20" s="27">
        <v>87.7</v>
      </c>
      <c r="R20" s="17">
        <v>5</v>
      </c>
      <c r="S20" s="17">
        <v>650</v>
      </c>
      <c r="T20" s="17">
        <v>1045</v>
      </c>
      <c r="U20" s="17">
        <v>4.5</v>
      </c>
      <c r="V20" s="17">
        <v>114.05</v>
      </c>
      <c r="W20" s="17">
        <v>511</v>
      </c>
      <c r="X20" s="17">
        <v>870</v>
      </c>
      <c r="Y20" s="17">
        <v>116.44</v>
      </c>
      <c r="Z20" s="17">
        <v>15</v>
      </c>
      <c r="AA20" s="8">
        <v>35</v>
      </c>
      <c r="AB20" s="8">
        <v>10.199999999999999</v>
      </c>
      <c r="AC20" s="8">
        <v>16.399999999999999</v>
      </c>
      <c r="AD20" s="8">
        <v>41.9</v>
      </c>
      <c r="AE20" s="8"/>
      <c r="AF20" s="8"/>
      <c r="AG20" s="9"/>
      <c r="AH20" s="9"/>
      <c r="AZ20" s="34">
        <v>454.97</v>
      </c>
      <c r="BA20">
        <v>31.58</v>
      </c>
    </row>
    <row r="21" spans="1:53" x14ac:dyDescent="0.2">
      <c r="A21" s="6"/>
      <c r="B21" s="29"/>
      <c r="C21" s="29"/>
      <c r="D21" s="29"/>
      <c r="E21" s="29"/>
      <c r="F21" s="29"/>
      <c r="G21" s="2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53" x14ac:dyDescent="0.2">
      <c r="A22" s="6"/>
      <c r="B22" s="29"/>
      <c r="C22" s="29"/>
      <c r="D22" s="29"/>
      <c r="E22" s="29"/>
      <c r="F22" s="29"/>
      <c r="G22" s="2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53" x14ac:dyDescent="0.2">
      <c r="A23" s="6"/>
      <c r="B23" s="29"/>
      <c r="C23" s="29"/>
      <c r="D23" s="29"/>
      <c r="E23" s="29"/>
      <c r="F23" s="29"/>
      <c r="G23" s="2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53" x14ac:dyDescent="0.2">
      <c r="A24" s="6"/>
      <c r="B24" s="29"/>
      <c r="C24" s="29"/>
      <c r="D24" s="29"/>
      <c r="E24" s="29"/>
      <c r="F24" s="29"/>
      <c r="G24" s="2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53" x14ac:dyDescent="0.2">
      <c r="A25" s="6"/>
      <c r="B25" s="29"/>
      <c r="C25" s="29"/>
      <c r="D25" s="29"/>
      <c r="E25" s="29"/>
      <c r="F25" s="29"/>
      <c r="G25" s="2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53" x14ac:dyDescent="0.2">
      <c r="A26" s="6"/>
      <c r="B26" s="29"/>
      <c r="C26" s="29"/>
      <c r="D26" s="29"/>
      <c r="E26" s="29"/>
      <c r="F26" s="29"/>
      <c r="G26" s="2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5" priority="1" operator="equal">
      <formula>"incomplete"</formula>
    </cfRule>
    <cfRule type="cellIs" dxfId="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15E75742-D530-4138-807F-B112D995E5DA}">
      <formula1>"incomplete, COMPLETED"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5CD8-187A-4D4E-9C5F-093020D91946}">
  <dimension ref="A1:BA26"/>
  <sheetViews>
    <sheetView topLeftCell="AL1" workbookViewId="0">
      <selection activeCell="AP3" sqref="AP3"/>
    </sheetView>
  </sheetViews>
  <sheetFormatPr baseColWidth="10" defaultColWidth="8.83203125" defaultRowHeight="15" x14ac:dyDescent="0.2"/>
  <cols>
    <col min="1" max="1" width="29" bestFit="1" customWidth="1"/>
    <col min="2" max="2" width="10.5" bestFit="1" customWidth="1"/>
    <col min="3" max="3" width="15.1640625" bestFit="1" customWidth="1"/>
    <col min="4" max="4" width="11.6640625" bestFit="1" customWidth="1"/>
    <col min="5" max="5" width="16.1640625" bestFit="1" customWidth="1"/>
    <col min="6" max="6" width="27.33203125" customWidth="1"/>
    <col min="7" max="11" width="11.6640625" bestFit="1" customWidth="1"/>
    <col min="12" max="13" width="11.164062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640625" bestFit="1" customWidth="1"/>
    <col min="38" max="38" width="12.6640625" bestFit="1" customWidth="1"/>
    <col min="39" max="39" width="11.5" bestFit="1" customWidth="1"/>
    <col min="40" max="40" width="14" bestFit="1" customWidth="1"/>
    <col min="41" max="41" width="14.83203125" bestFit="1" customWidth="1"/>
    <col min="42" max="42" width="15.5" bestFit="1" customWidth="1"/>
    <col min="43" max="43" width="13.6640625" bestFit="1" customWidth="1"/>
    <col min="44" max="44" width="13.83203125" bestFit="1" customWidth="1"/>
    <col min="45" max="45" width="12.5" bestFit="1" customWidth="1"/>
    <col min="46" max="46" width="16.33203125" bestFit="1" customWidth="1"/>
    <col min="47" max="47" width="14.1640625" bestFit="1" customWidth="1"/>
    <col min="48" max="48" width="13.6640625" bestFit="1" customWidth="1"/>
    <col min="49" max="49" width="14.5" bestFit="1" customWidth="1"/>
    <col min="50" max="50" width="13.33203125" bestFit="1" customWidth="1"/>
    <col min="51" max="52" width="11.1640625" bestFit="1" customWidth="1"/>
    <col min="53" max="53" width="15.5" customWidth="1"/>
  </cols>
  <sheetData>
    <row r="1" spans="1:53" ht="26" x14ac:dyDescent="0.3">
      <c r="A1" s="37" t="s">
        <v>0</v>
      </c>
      <c r="B1" s="38"/>
      <c r="C1" s="38"/>
      <c r="D1" s="38"/>
      <c r="E1" s="38"/>
      <c r="F1" s="39"/>
      <c r="G1" s="37" t="s">
        <v>1</v>
      </c>
      <c r="H1" s="38"/>
      <c r="I1" s="38"/>
      <c r="J1" s="38"/>
      <c r="K1" s="38"/>
      <c r="L1" s="38"/>
      <c r="M1" s="3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3" ht="26" x14ac:dyDescent="0.3">
      <c r="A2" s="40"/>
      <c r="B2" s="41"/>
      <c r="C2" s="41"/>
      <c r="D2" s="41"/>
      <c r="E2" s="41"/>
      <c r="F2" s="42"/>
      <c r="G2" s="40"/>
      <c r="H2" s="41"/>
      <c r="I2" s="41"/>
      <c r="J2" s="41"/>
      <c r="K2" s="41"/>
      <c r="L2" s="41"/>
      <c r="M2" s="4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3" ht="26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3" ht="26" x14ac:dyDescent="0.3">
      <c r="A4" s="4" t="s">
        <v>2</v>
      </c>
      <c r="B4" s="43" t="s">
        <v>104</v>
      </c>
      <c r="C4" s="44"/>
      <c r="D4" s="5"/>
      <c r="E4" s="4" t="s">
        <v>4</v>
      </c>
      <c r="F4" s="45"/>
      <c r="G4" s="4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3" ht="26" x14ac:dyDescent="0.3">
      <c r="A5" s="4" t="s">
        <v>5</v>
      </c>
      <c r="B5" s="43">
        <v>1.9</v>
      </c>
      <c r="C5" s="44"/>
      <c r="D5" s="5"/>
      <c r="E5" s="4" t="s">
        <v>6</v>
      </c>
      <c r="F5" s="47"/>
      <c r="G5" s="4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3" ht="26" x14ac:dyDescent="0.3">
      <c r="A6" s="4" t="s">
        <v>7</v>
      </c>
      <c r="B6" s="51">
        <v>45877</v>
      </c>
      <c r="C6" s="44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3" ht="26" x14ac:dyDescent="0.3">
      <c r="A7" s="4" t="s">
        <v>8</v>
      </c>
      <c r="B7" s="43">
        <v>60</v>
      </c>
      <c r="C7" s="44"/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3" ht="26" x14ac:dyDescent="0.3">
      <c r="A8" s="4" t="s">
        <v>10</v>
      </c>
      <c r="B8" s="43">
        <v>60</v>
      </c>
      <c r="C8" s="44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3" x14ac:dyDescent="0.2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8"/>
      <c r="R9" s="8"/>
      <c r="S9" s="8"/>
      <c r="T9" s="8"/>
      <c r="U9" s="8"/>
      <c r="V9" s="8"/>
      <c r="X9" s="8"/>
      <c r="Y9" s="8"/>
      <c r="Z9" s="8"/>
      <c r="AA9" s="8"/>
      <c r="AB9" s="8"/>
      <c r="AC9" s="8"/>
      <c r="AD9" s="9"/>
      <c r="AE9" s="9"/>
      <c r="AF9" s="9"/>
      <c r="AG9" s="9"/>
    </row>
    <row r="10" spans="1:53" x14ac:dyDescent="0.2">
      <c r="A10" s="6"/>
      <c r="B10" s="10"/>
      <c r="C10" s="11"/>
      <c r="D10" s="12" t="s">
        <v>11</v>
      </c>
      <c r="E10" s="12" t="s">
        <v>11</v>
      </c>
      <c r="F10" s="12" t="s">
        <v>11</v>
      </c>
      <c r="G10" s="12" t="s">
        <v>11</v>
      </c>
      <c r="H10" s="12" t="s">
        <v>11</v>
      </c>
      <c r="I10" s="12" t="s">
        <v>11</v>
      </c>
      <c r="J10" s="12" t="s">
        <v>11</v>
      </c>
      <c r="K10" s="12" t="s">
        <v>11</v>
      </c>
      <c r="L10" s="12" t="s">
        <v>12</v>
      </c>
      <c r="M10" s="12" t="s">
        <v>12</v>
      </c>
      <c r="N10" s="12" t="s">
        <v>11</v>
      </c>
      <c r="O10" s="12" t="s">
        <v>11</v>
      </c>
      <c r="P10" s="12" t="s">
        <v>11</v>
      </c>
      <c r="Q10" s="12" t="s">
        <v>11</v>
      </c>
      <c r="R10" s="12" t="s">
        <v>11</v>
      </c>
      <c r="S10" s="12" t="s">
        <v>11</v>
      </c>
      <c r="T10" s="12" t="s">
        <v>11</v>
      </c>
      <c r="U10" s="12" t="s">
        <v>11</v>
      </c>
      <c r="V10" s="12" t="s">
        <v>11</v>
      </c>
      <c r="W10" s="12" t="s">
        <v>11</v>
      </c>
      <c r="X10" s="12" t="s">
        <v>11</v>
      </c>
      <c r="Y10" s="12" t="s">
        <v>11</v>
      </c>
      <c r="Z10" s="12" t="s">
        <v>11</v>
      </c>
      <c r="AA10" s="12" t="s">
        <v>11</v>
      </c>
      <c r="AB10" s="12" t="s">
        <v>11</v>
      </c>
      <c r="AC10" s="12" t="s">
        <v>11</v>
      </c>
      <c r="AD10" s="12" t="s">
        <v>11</v>
      </c>
      <c r="AE10" s="12" t="s">
        <v>12</v>
      </c>
      <c r="AF10" s="12" t="s">
        <v>12</v>
      </c>
      <c r="AG10" s="12" t="s">
        <v>12</v>
      </c>
      <c r="AH10" s="12" t="s">
        <v>12</v>
      </c>
      <c r="AI10" s="12" t="s">
        <v>12</v>
      </c>
      <c r="AJ10" s="12" t="s">
        <v>12</v>
      </c>
      <c r="AK10" s="12" t="s">
        <v>12</v>
      </c>
      <c r="AL10" s="12" t="s">
        <v>12</v>
      </c>
      <c r="AM10" s="12" t="s">
        <v>12</v>
      </c>
      <c r="AN10" s="12" t="s">
        <v>12</v>
      </c>
      <c r="AO10" s="12" t="s">
        <v>12</v>
      </c>
      <c r="AP10" s="12" t="s">
        <v>12</v>
      </c>
      <c r="AQ10" s="12" t="s">
        <v>12</v>
      </c>
      <c r="AR10" s="12" t="s">
        <v>12</v>
      </c>
      <c r="AS10" s="12" t="s">
        <v>12</v>
      </c>
      <c r="AT10" s="12" t="s">
        <v>12</v>
      </c>
      <c r="AU10" s="12" t="s">
        <v>12</v>
      </c>
      <c r="AV10" s="12" t="s">
        <v>12</v>
      </c>
      <c r="AW10" s="12" t="s">
        <v>12</v>
      </c>
      <c r="AX10" s="12" t="s">
        <v>12</v>
      </c>
      <c r="AY10" s="12" t="s">
        <v>12</v>
      </c>
      <c r="AZ10" s="12" t="s">
        <v>12</v>
      </c>
      <c r="BA10" s="12" t="s">
        <v>11</v>
      </c>
    </row>
    <row r="11" spans="1:53" x14ac:dyDescent="0.2">
      <c r="A11" s="6"/>
      <c r="B11" s="10"/>
      <c r="C11" s="11" t="s">
        <v>13</v>
      </c>
      <c r="D11" s="11" t="s">
        <v>14</v>
      </c>
      <c r="E11" s="11" t="s">
        <v>15</v>
      </c>
      <c r="F11" s="11" t="s">
        <v>16</v>
      </c>
      <c r="G11" s="49" t="s">
        <v>17</v>
      </c>
      <c r="H11" s="49"/>
      <c r="I11" s="49"/>
      <c r="J11" s="49"/>
      <c r="K11" s="49"/>
      <c r="L11" s="13" t="s">
        <v>18</v>
      </c>
      <c r="M11" s="13" t="s">
        <v>19</v>
      </c>
      <c r="N11" s="52" t="s">
        <v>20</v>
      </c>
      <c r="O11" s="52"/>
      <c r="P11" s="52"/>
      <c r="Q11" s="52"/>
      <c r="R11" s="53" t="s">
        <v>21</v>
      </c>
      <c r="S11" s="53"/>
      <c r="T11" s="53"/>
      <c r="U11" s="53"/>
      <c r="V11" s="53"/>
      <c r="W11" s="53"/>
      <c r="X11" s="53"/>
      <c r="Y11" s="53"/>
      <c r="Z11" s="53"/>
      <c r="AA11" s="49" t="s">
        <v>22</v>
      </c>
      <c r="AB11" s="49"/>
      <c r="AC11" s="49"/>
      <c r="AD11" s="49"/>
      <c r="AE11" s="49" t="s">
        <v>23</v>
      </c>
      <c r="AF11" s="49"/>
      <c r="AG11" s="49"/>
      <c r="AH11" s="49"/>
      <c r="AI11" s="50" t="s">
        <v>24</v>
      </c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 t="s">
        <v>25</v>
      </c>
      <c r="AZ11" s="50"/>
      <c r="BA11" s="30" t="s">
        <v>26</v>
      </c>
    </row>
    <row r="12" spans="1:53" ht="16" x14ac:dyDescent="0.2">
      <c r="A12" s="13"/>
      <c r="B12" s="14"/>
      <c r="C12" s="15" t="s">
        <v>27</v>
      </c>
      <c r="D12" s="16" t="s">
        <v>28</v>
      </c>
      <c r="E12" s="16" t="s">
        <v>29</v>
      </c>
      <c r="F12" s="16" t="s">
        <v>30</v>
      </c>
      <c r="G12" s="17" t="s">
        <v>31</v>
      </c>
      <c r="H12" s="17" t="s">
        <v>32</v>
      </c>
      <c r="I12" s="17" t="s">
        <v>33</v>
      </c>
      <c r="J12" s="17" t="s">
        <v>34</v>
      </c>
      <c r="K12" s="17" t="s">
        <v>34</v>
      </c>
      <c r="L12" s="17" t="s">
        <v>35</v>
      </c>
      <c r="M12" s="17" t="s">
        <v>33</v>
      </c>
      <c r="N12" s="17" t="s">
        <v>36</v>
      </c>
      <c r="O12" s="17" t="s">
        <v>37</v>
      </c>
      <c r="P12" s="17" t="s">
        <v>28</v>
      </c>
      <c r="Q12" s="17" t="s">
        <v>28</v>
      </c>
      <c r="R12" s="17" t="s">
        <v>38</v>
      </c>
      <c r="S12" s="17" t="s">
        <v>38</v>
      </c>
      <c r="T12" s="17" t="s">
        <v>38</v>
      </c>
      <c r="U12" s="17" t="s">
        <v>39</v>
      </c>
      <c r="V12" s="17" t="s">
        <v>39</v>
      </c>
      <c r="W12" s="17" t="s">
        <v>38</v>
      </c>
      <c r="X12" s="17" t="s">
        <v>39</v>
      </c>
      <c r="Y12" s="17" t="s">
        <v>39</v>
      </c>
      <c r="Z12" s="17" t="s">
        <v>38</v>
      </c>
      <c r="AA12" s="17" t="s">
        <v>40</v>
      </c>
      <c r="AB12" s="17" t="s">
        <v>40</v>
      </c>
      <c r="AC12" s="17" t="s">
        <v>41</v>
      </c>
      <c r="AD12" s="17" t="s">
        <v>42</v>
      </c>
      <c r="AE12" s="17" t="s">
        <v>43</v>
      </c>
      <c r="AF12" s="17" t="s">
        <v>43</v>
      </c>
      <c r="AG12" s="17" t="s">
        <v>43</v>
      </c>
      <c r="AH12" s="17" t="s">
        <v>44</v>
      </c>
      <c r="AI12" s="18" t="s">
        <v>45</v>
      </c>
      <c r="AJ12" s="18" t="s">
        <v>45</v>
      </c>
      <c r="AK12" s="18" t="s">
        <v>45</v>
      </c>
      <c r="AL12" s="18" t="s">
        <v>45</v>
      </c>
      <c r="AM12" s="18" t="s">
        <v>45</v>
      </c>
      <c r="AN12" s="18" t="s">
        <v>45</v>
      </c>
      <c r="AO12" s="18" t="s">
        <v>45</v>
      </c>
      <c r="AP12" s="18" t="s">
        <v>45</v>
      </c>
      <c r="AQ12" s="18" t="s">
        <v>45</v>
      </c>
      <c r="AR12" s="18" t="s">
        <v>45</v>
      </c>
      <c r="AS12" s="18" t="s">
        <v>45</v>
      </c>
      <c r="AT12" s="18" t="s">
        <v>45</v>
      </c>
      <c r="AU12" s="18" t="s">
        <v>45</v>
      </c>
      <c r="AV12" s="18" t="s">
        <v>45</v>
      </c>
      <c r="AW12" s="18" t="s">
        <v>45</v>
      </c>
      <c r="AX12" s="18" t="s">
        <v>45</v>
      </c>
      <c r="AY12" s="17" t="s">
        <v>45</v>
      </c>
      <c r="AZ12" s="17" t="s">
        <v>45</v>
      </c>
      <c r="BA12" s="31" t="s">
        <v>46</v>
      </c>
    </row>
    <row r="13" spans="1:53" ht="16" thickBot="1" x14ac:dyDescent="0.25">
      <c r="A13" s="19" t="s">
        <v>47</v>
      </c>
      <c r="B13" s="20" t="s">
        <v>48</v>
      </c>
      <c r="C13" s="19" t="s">
        <v>49</v>
      </c>
      <c r="D13" s="19" t="s">
        <v>14</v>
      </c>
      <c r="E13" s="19" t="s">
        <v>29</v>
      </c>
      <c r="F13" s="19" t="s">
        <v>50</v>
      </c>
      <c r="G13" s="19" t="s">
        <v>51</v>
      </c>
      <c r="H13" s="19" t="s">
        <v>52</v>
      </c>
      <c r="I13" s="21" t="s">
        <v>53</v>
      </c>
      <c r="J13" s="21" t="s">
        <v>54</v>
      </c>
      <c r="K13" s="21" t="s">
        <v>55</v>
      </c>
      <c r="L13" s="21" t="s">
        <v>56</v>
      </c>
      <c r="M13" s="21" t="s">
        <v>19</v>
      </c>
      <c r="N13" s="21" t="s">
        <v>57</v>
      </c>
      <c r="O13" s="21" t="s">
        <v>58</v>
      </c>
      <c r="P13" s="21" t="s">
        <v>59</v>
      </c>
      <c r="Q13" s="21" t="s">
        <v>60</v>
      </c>
      <c r="R13" s="22" t="s">
        <v>61</v>
      </c>
      <c r="S13" s="23" t="s">
        <v>62</v>
      </c>
      <c r="T13" s="23" t="s">
        <v>63</v>
      </c>
      <c r="U13" s="23" t="s">
        <v>64</v>
      </c>
      <c r="V13" s="23" t="s">
        <v>65</v>
      </c>
      <c r="W13" s="23" t="s">
        <v>66</v>
      </c>
      <c r="X13" s="23" t="s">
        <v>67</v>
      </c>
      <c r="Y13" s="23" t="s">
        <v>68</v>
      </c>
      <c r="Z13" s="23" t="s">
        <v>69</v>
      </c>
      <c r="AA13" s="35" t="s">
        <v>70</v>
      </c>
      <c r="AB13" s="35" t="s">
        <v>71</v>
      </c>
      <c r="AC13" s="35" t="s">
        <v>72</v>
      </c>
      <c r="AD13" s="35" t="s">
        <v>73</v>
      </c>
      <c r="AE13" s="23" t="s">
        <v>74</v>
      </c>
      <c r="AF13" s="22" t="s">
        <v>75</v>
      </c>
      <c r="AG13" s="22" t="s">
        <v>76</v>
      </c>
      <c r="AH13" s="22" t="s">
        <v>77</v>
      </c>
      <c r="AI13" s="36" t="s">
        <v>78</v>
      </c>
      <c r="AJ13" s="36" t="s">
        <v>79</v>
      </c>
      <c r="AK13" s="36" t="s">
        <v>80</v>
      </c>
      <c r="AL13" s="36" t="s">
        <v>81</v>
      </c>
      <c r="AM13" s="36" t="s">
        <v>82</v>
      </c>
      <c r="AN13" s="36" t="s">
        <v>83</v>
      </c>
      <c r="AO13" s="36" t="s">
        <v>84</v>
      </c>
      <c r="AP13" s="36" t="s">
        <v>85</v>
      </c>
      <c r="AQ13" s="36" t="s">
        <v>86</v>
      </c>
      <c r="AR13" s="36" t="s">
        <v>87</v>
      </c>
      <c r="AS13" s="36" t="s">
        <v>88</v>
      </c>
      <c r="AT13" s="36" t="s">
        <v>89</v>
      </c>
      <c r="AU13" s="36" t="s">
        <v>90</v>
      </c>
      <c r="AV13" s="36" t="s">
        <v>91</v>
      </c>
      <c r="AW13" s="36" t="s">
        <v>92</v>
      </c>
      <c r="AX13" s="36" t="s">
        <v>93</v>
      </c>
      <c r="AY13" s="22" t="s">
        <v>94</v>
      </c>
      <c r="AZ13" s="22" t="s">
        <v>95</v>
      </c>
      <c r="BA13" s="32" t="s">
        <v>26</v>
      </c>
    </row>
    <row r="14" spans="1:53" ht="16" x14ac:dyDescent="0.2">
      <c r="A14" s="24" t="s">
        <v>96</v>
      </c>
      <c r="B14" s="25">
        <v>0.33333333333333331</v>
      </c>
      <c r="C14" s="13" t="s">
        <v>97</v>
      </c>
      <c r="D14" s="13">
        <v>97.9</v>
      </c>
      <c r="E14" s="13">
        <v>278</v>
      </c>
      <c r="F14" s="13">
        <v>39</v>
      </c>
      <c r="G14" s="26">
        <v>5.03</v>
      </c>
      <c r="H14" s="26">
        <v>11.2</v>
      </c>
      <c r="I14" s="17">
        <v>33.799999999999997</v>
      </c>
      <c r="J14" s="17">
        <v>227</v>
      </c>
      <c r="K14" s="17">
        <v>5.0999999999999996</v>
      </c>
      <c r="L14" s="17"/>
      <c r="M14" s="27">
        <f>(L14/(((H14*10)/64500)*10^6))*100</f>
        <v>0</v>
      </c>
      <c r="N14" s="27">
        <v>0.7</v>
      </c>
      <c r="O14" s="27">
        <v>7.476</v>
      </c>
      <c r="P14" s="27">
        <v>40.1</v>
      </c>
      <c r="Q14" s="27">
        <v>75.2</v>
      </c>
      <c r="R14" s="17">
        <v>15</v>
      </c>
      <c r="S14" s="28">
        <v>81</v>
      </c>
      <c r="T14" s="17">
        <v>110</v>
      </c>
      <c r="U14" s="17">
        <v>0.52</v>
      </c>
      <c r="V14" s="17">
        <v>11.16</v>
      </c>
      <c r="W14" s="17">
        <v>235</v>
      </c>
      <c r="X14" s="17">
        <v>870</v>
      </c>
      <c r="Y14" s="17">
        <v>150.15</v>
      </c>
      <c r="Z14" s="17">
        <v>2</v>
      </c>
      <c r="AA14" s="17">
        <v>9.6</v>
      </c>
      <c r="AB14" s="17">
        <v>1.9</v>
      </c>
      <c r="AC14" s="17">
        <v>61.8</v>
      </c>
      <c r="AD14" s="17">
        <v>51.5</v>
      </c>
      <c r="AE14" s="17"/>
      <c r="AF14" s="9"/>
      <c r="AG14" s="9"/>
      <c r="AH14" s="9"/>
      <c r="AZ14" s="34">
        <v>494.74</v>
      </c>
      <c r="BA14">
        <v>28.6</v>
      </c>
    </row>
    <row r="15" spans="1:53" ht="16" x14ac:dyDescent="0.2">
      <c r="A15" s="15" t="s">
        <v>98</v>
      </c>
      <c r="B15" s="25">
        <v>0.44861111111111113</v>
      </c>
      <c r="C15" s="13" t="s">
        <v>97</v>
      </c>
      <c r="D15" s="13">
        <v>91</v>
      </c>
      <c r="E15" s="13">
        <v>337</v>
      </c>
      <c r="F15" s="13">
        <v>38</v>
      </c>
      <c r="G15" s="17">
        <v>3.26</v>
      </c>
      <c r="H15" s="17">
        <v>7.3</v>
      </c>
      <c r="I15" s="17">
        <v>21.6</v>
      </c>
      <c r="J15" s="17">
        <v>250</v>
      </c>
      <c r="K15" s="17">
        <v>4.7</v>
      </c>
      <c r="L15" s="17"/>
      <c r="M15" s="27">
        <f t="shared" ref="M15:M20" si="0">(L15/(((H15*10)/64500)*10^6))*100</f>
        <v>0</v>
      </c>
      <c r="N15" s="27">
        <v>5.4</v>
      </c>
      <c r="O15" s="27">
        <v>7.4589999999999996</v>
      </c>
      <c r="P15" s="27">
        <v>37.9</v>
      </c>
      <c r="Q15" s="27">
        <v>85.8</v>
      </c>
      <c r="R15" s="17">
        <v>25</v>
      </c>
      <c r="S15" s="17">
        <v>75</v>
      </c>
      <c r="T15" s="17">
        <v>92</v>
      </c>
      <c r="U15" s="17">
        <v>0.78</v>
      </c>
      <c r="V15" s="17">
        <v>16.32</v>
      </c>
      <c r="W15" s="17">
        <v>220</v>
      </c>
      <c r="X15" s="17">
        <v>85.16</v>
      </c>
      <c r="Y15" s="17">
        <v>411.22</v>
      </c>
      <c r="Z15" s="17">
        <v>3</v>
      </c>
      <c r="AA15" s="17">
        <v>15.4</v>
      </c>
      <c r="AB15" s="17">
        <v>1.9</v>
      </c>
      <c r="AC15" s="17">
        <v>63.4</v>
      </c>
      <c r="AD15" s="17">
        <v>71</v>
      </c>
      <c r="AE15" s="17"/>
      <c r="AF15" s="9"/>
      <c r="AG15" s="9"/>
      <c r="AH15" s="9"/>
      <c r="AZ15" s="34">
        <v>354.39</v>
      </c>
      <c r="BA15">
        <v>29.42</v>
      </c>
    </row>
    <row r="16" spans="1:53" ht="16" x14ac:dyDescent="0.2">
      <c r="A16" s="15" t="s">
        <v>99</v>
      </c>
      <c r="B16" s="25">
        <v>0.4548611111111111</v>
      </c>
      <c r="C16" s="13" t="s">
        <v>97</v>
      </c>
      <c r="D16" s="13">
        <v>108</v>
      </c>
      <c r="E16" s="13">
        <v>263</v>
      </c>
      <c r="F16" s="13">
        <v>38</v>
      </c>
      <c r="G16" s="17">
        <v>1.99</v>
      </c>
      <c r="H16" s="17">
        <v>12.4</v>
      </c>
      <c r="I16" s="17">
        <v>12.8</v>
      </c>
      <c r="J16" s="17">
        <v>1070</v>
      </c>
      <c r="K16" s="17">
        <v>15.8</v>
      </c>
      <c r="L16" s="17"/>
      <c r="M16" s="27">
        <f t="shared" si="0"/>
        <v>0</v>
      </c>
      <c r="N16" s="27">
        <v>4.9000000000000004</v>
      </c>
      <c r="O16" s="27">
        <v>7.4119999999999999</v>
      </c>
      <c r="P16" s="27">
        <v>39.1</v>
      </c>
      <c r="Q16" s="27">
        <v>88.8</v>
      </c>
      <c r="R16" s="17">
        <v>11</v>
      </c>
      <c r="S16" s="17">
        <v>44</v>
      </c>
      <c r="T16" s="17">
        <v>72</v>
      </c>
      <c r="U16" s="17">
        <v>0.63</v>
      </c>
      <c r="V16" s="17">
        <v>15.06</v>
      </c>
      <c r="W16" s="17">
        <v>129</v>
      </c>
      <c r="X16" s="17">
        <v>59.19</v>
      </c>
      <c r="Y16" s="17">
        <v>365.57</v>
      </c>
      <c r="Z16" s="17">
        <v>2</v>
      </c>
      <c r="AA16" s="17">
        <v>14.7</v>
      </c>
      <c r="AB16" s="17">
        <v>2.2999999999999998</v>
      </c>
      <c r="AC16" s="17">
        <v>28</v>
      </c>
      <c r="AD16" s="17">
        <v>61.9</v>
      </c>
      <c r="AE16" s="17"/>
      <c r="AF16" s="9"/>
      <c r="AG16" s="9"/>
      <c r="AH16" s="9"/>
      <c r="AZ16" s="34"/>
      <c r="BA16">
        <v>26.43</v>
      </c>
    </row>
    <row r="17" spans="1:53" ht="16" x14ac:dyDescent="0.2">
      <c r="A17" s="15" t="s">
        <v>100</v>
      </c>
      <c r="B17" s="25">
        <v>0.49652777777777779</v>
      </c>
      <c r="C17" s="13" t="s">
        <v>97</v>
      </c>
      <c r="D17" s="13">
        <v>95</v>
      </c>
      <c r="E17" s="13">
        <v>310</v>
      </c>
      <c r="F17" s="13">
        <v>39</v>
      </c>
      <c r="G17" s="17">
        <v>2.2799999999999998</v>
      </c>
      <c r="H17" s="17">
        <v>13</v>
      </c>
      <c r="I17" s="17">
        <v>14.9</v>
      </c>
      <c r="J17" s="17">
        <v>957</v>
      </c>
      <c r="K17" s="17">
        <v>8.4</v>
      </c>
      <c r="L17" s="17"/>
      <c r="M17" s="27">
        <f t="shared" si="0"/>
        <v>0</v>
      </c>
      <c r="N17" s="27">
        <v>3.1</v>
      </c>
      <c r="O17" s="27">
        <v>7.5609999999999999</v>
      </c>
      <c r="P17" s="27">
        <v>30</v>
      </c>
      <c r="Q17" s="27">
        <v>88.5</v>
      </c>
      <c r="R17" s="17">
        <v>18</v>
      </c>
      <c r="S17" s="17">
        <v>54</v>
      </c>
      <c r="T17" s="17">
        <v>74</v>
      </c>
      <c r="U17" s="17">
        <v>0.56999999999999995</v>
      </c>
      <c r="V17" s="17">
        <v>15.56</v>
      </c>
      <c r="W17" s="17">
        <v>173</v>
      </c>
      <c r="X17" s="17">
        <v>54.68</v>
      </c>
      <c r="Y17" s="17">
        <v>261.58999999999997</v>
      </c>
      <c r="Z17" s="17">
        <v>2</v>
      </c>
      <c r="AA17" s="17">
        <v>17</v>
      </c>
      <c r="AB17" s="17">
        <v>3.8</v>
      </c>
      <c r="AC17" s="17">
        <v>50</v>
      </c>
      <c r="AD17" s="17">
        <v>68.5</v>
      </c>
      <c r="AE17" s="17"/>
      <c r="AF17" s="9"/>
      <c r="AG17" s="9"/>
      <c r="AH17" s="9"/>
      <c r="AZ17" s="34"/>
      <c r="BA17">
        <v>28.01</v>
      </c>
    </row>
    <row r="18" spans="1:53" ht="16" x14ac:dyDescent="0.2">
      <c r="A18" s="15" t="s">
        <v>101</v>
      </c>
      <c r="B18" s="25">
        <v>0.57986111111111116</v>
      </c>
      <c r="C18" s="13" t="s">
        <v>97</v>
      </c>
      <c r="D18" s="13">
        <v>100</v>
      </c>
      <c r="E18" s="13">
        <v>308</v>
      </c>
      <c r="F18" s="13">
        <v>41</v>
      </c>
      <c r="G18" s="17">
        <v>2.27</v>
      </c>
      <c r="H18" s="17">
        <v>12.4</v>
      </c>
      <c r="I18" s="17">
        <v>15</v>
      </c>
      <c r="J18" s="17">
        <v>632</v>
      </c>
      <c r="K18" s="17">
        <v>2.2999999999999998</v>
      </c>
      <c r="L18" s="17"/>
      <c r="M18" s="27">
        <f t="shared" si="0"/>
        <v>0</v>
      </c>
      <c r="N18" s="27">
        <v>4.8</v>
      </c>
      <c r="O18" s="27">
        <v>7.61</v>
      </c>
      <c r="P18" s="27">
        <v>23.3</v>
      </c>
      <c r="Q18" s="27">
        <v>81.7</v>
      </c>
      <c r="R18" s="17">
        <v>131</v>
      </c>
      <c r="S18" s="17">
        <v>76</v>
      </c>
      <c r="T18" s="17">
        <v>159</v>
      </c>
      <c r="U18" s="17">
        <v>0.79</v>
      </c>
      <c r="V18" s="17">
        <v>18.25</v>
      </c>
      <c r="W18" s="17">
        <v>185</v>
      </c>
      <c r="X18" s="17">
        <v>120.61</v>
      </c>
      <c r="Y18" s="17">
        <v>154.07</v>
      </c>
      <c r="Z18" s="17">
        <v>2</v>
      </c>
      <c r="AA18" s="17">
        <v>20</v>
      </c>
      <c r="AB18" s="17">
        <v>4.0999999999999996</v>
      </c>
      <c r="AC18" s="17">
        <v>43.6</v>
      </c>
      <c r="AD18" s="17">
        <v>63</v>
      </c>
      <c r="AE18" s="17"/>
      <c r="AF18" s="9"/>
      <c r="AG18" s="9"/>
      <c r="AH18" s="9"/>
      <c r="AZ18" s="34">
        <v>324.56</v>
      </c>
      <c r="BA18">
        <v>26.08</v>
      </c>
    </row>
    <row r="19" spans="1:53" ht="16" x14ac:dyDescent="0.2">
      <c r="A19" s="15" t="s">
        <v>102</v>
      </c>
      <c r="B19" s="25">
        <v>0.70486111111111116</v>
      </c>
      <c r="C19" s="13" t="s">
        <v>97</v>
      </c>
      <c r="D19" s="13">
        <v>102</v>
      </c>
      <c r="E19" s="13">
        <v>281</v>
      </c>
      <c r="F19" s="13">
        <v>40</v>
      </c>
      <c r="G19" s="17">
        <v>2.2999999999999998</v>
      </c>
      <c r="H19" s="17">
        <v>11.8</v>
      </c>
      <c r="I19" s="17">
        <v>15.1</v>
      </c>
      <c r="J19" s="17">
        <v>446</v>
      </c>
      <c r="K19" s="17">
        <v>1.9</v>
      </c>
      <c r="L19" s="17"/>
      <c r="M19" s="27">
        <f t="shared" si="0"/>
        <v>0</v>
      </c>
      <c r="N19" s="27">
        <v>2.4</v>
      </c>
      <c r="O19" s="27">
        <v>7.5469999999999997</v>
      </c>
      <c r="P19" s="27">
        <v>25.4</v>
      </c>
      <c r="Q19" s="27">
        <v>83.2</v>
      </c>
      <c r="R19" s="17">
        <v>424</v>
      </c>
      <c r="S19" s="17">
        <v>114</v>
      </c>
      <c r="T19" s="17">
        <v>278</v>
      </c>
      <c r="U19" s="17">
        <v>0.81</v>
      </c>
      <c r="V19" s="17">
        <v>17.79</v>
      </c>
      <c r="W19" s="17">
        <v>172</v>
      </c>
      <c r="X19" s="17">
        <v>116.01</v>
      </c>
      <c r="Y19" s="17">
        <v>125.2</v>
      </c>
      <c r="Z19" s="17">
        <v>11</v>
      </c>
      <c r="AA19" s="17">
        <v>26.3</v>
      </c>
      <c r="AB19" s="17">
        <v>9.1999999999999993</v>
      </c>
      <c r="AC19" s="17">
        <v>23.7</v>
      </c>
      <c r="AD19" s="17">
        <v>53.4</v>
      </c>
      <c r="AE19" s="17"/>
      <c r="AF19" s="9"/>
      <c r="AG19" s="9"/>
      <c r="AH19" s="9"/>
      <c r="AZ19" s="34"/>
      <c r="BA19">
        <v>26.14</v>
      </c>
    </row>
    <row r="20" spans="1:53" ht="16" x14ac:dyDescent="0.2">
      <c r="A20" s="15" t="s">
        <v>103</v>
      </c>
      <c r="B20" s="25">
        <v>0.4548611111111111</v>
      </c>
      <c r="C20" s="13" t="s">
        <v>97</v>
      </c>
      <c r="D20" s="13">
        <v>106</v>
      </c>
      <c r="E20" s="13">
        <v>274</v>
      </c>
      <c r="F20" s="13">
        <v>39</v>
      </c>
      <c r="G20" s="17">
        <v>2.56</v>
      </c>
      <c r="H20" s="17">
        <v>12</v>
      </c>
      <c r="I20" s="17">
        <v>16.7</v>
      </c>
      <c r="J20" s="17">
        <v>217</v>
      </c>
      <c r="K20" s="17">
        <v>12</v>
      </c>
      <c r="L20" s="17"/>
      <c r="M20" s="27">
        <f t="shared" si="0"/>
        <v>0</v>
      </c>
      <c r="N20" s="27">
        <v>2.2999999999999998</v>
      </c>
      <c r="O20" s="27">
        <v>7.4909999999999997</v>
      </c>
      <c r="P20" s="27">
        <v>27.2</v>
      </c>
      <c r="Q20" s="27">
        <v>84.1</v>
      </c>
      <c r="R20" s="17">
        <v>160</v>
      </c>
      <c r="S20" s="17">
        <v>108</v>
      </c>
      <c r="T20" s="17">
        <v>362</v>
      </c>
      <c r="U20" s="17">
        <v>1.1200000000000001</v>
      </c>
      <c r="V20" s="17">
        <v>33.659999999999997</v>
      </c>
      <c r="W20" s="17">
        <v>134</v>
      </c>
      <c r="X20" s="17">
        <v>870</v>
      </c>
      <c r="Y20" s="17">
        <v>143.94</v>
      </c>
      <c r="Z20" s="17">
        <v>9</v>
      </c>
      <c r="AA20" s="8">
        <v>13.9</v>
      </c>
      <c r="AB20" s="8">
        <v>3.2</v>
      </c>
      <c r="AC20" s="8">
        <v>50.2</v>
      </c>
      <c r="AD20" s="8">
        <v>64</v>
      </c>
      <c r="AE20" s="8"/>
      <c r="AF20" s="8"/>
      <c r="AG20" s="9"/>
      <c r="AH20" s="9"/>
      <c r="AZ20" s="34">
        <v>367.84</v>
      </c>
      <c r="BA20">
        <v>27.49</v>
      </c>
    </row>
    <row r="21" spans="1:53" x14ac:dyDescent="0.2">
      <c r="A21" s="6"/>
      <c r="B21" s="29"/>
      <c r="C21" s="29"/>
      <c r="D21" s="29"/>
      <c r="E21" s="29"/>
      <c r="F21" s="29"/>
      <c r="G21" s="2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53" x14ac:dyDescent="0.2">
      <c r="A22" s="6"/>
      <c r="B22" s="29"/>
      <c r="C22" s="29"/>
      <c r="D22" s="29"/>
      <c r="E22" s="29"/>
      <c r="F22" s="29"/>
      <c r="G22" s="2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53" x14ac:dyDescent="0.2">
      <c r="A23" s="6"/>
      <c r="B23" s="29"/>
      <c r="C23" s="29"/>
      <c r="D23" s="29"/>
      <c r="E23" s="29"/>
      <c r="F23" s="29"/>
      <c r="G23" s="2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53" x14ac:dyDescent="0.2">
      <c r="A24" s="6"/>
      <c r="B24" s="29"/>
      <c r="C24" s="29"/>
      <c r="D24" s="29"/>
      <c r="E24" s="29"/>
      <c r="F24" s="29"/>
      <c r="G24" s="2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53" x14ac:dyDescent="0.2">
      <c r="A25" s="6"/>
      <c r="B25" s="29"/>
      <c r="C25" s="29"/>
      <c r="D25" s="29"/>
      <c r="E25" s="29"/>
      <c r="F25" s="29"/>
      <c r="G25" s="2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53" x14ac:dyDescent="0.2">
      <c r="A26" s="6"/>
      <c r="B26" s="29"/>
      <c r="C26" s="29"/>
      <c r="D26" s="29"/>
      <c r="E26" s="29"/>
      <c r="F26" s="29"/>
      <c r="G26" s="2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3" priority="1" operator="equal">
      <formula>"incomplete"</formula>
    </cfRule>
    <cfRule type="cellIs" dxfId="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3EFD86A1-1E81-47FF-BB05-884C75A4B562}">
      <formula1>"incomplete, 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B74B-18A0-40C1-8817-D167450BD337}">
  <dimension ref="A1:BA26"/>
  <sheetViews>
    <sheetView tabSelected="1" workbookViewId="0">
      <selection activeCell="J24" sqref="J24"/>
    </sheetView>
  </sheetViews>
  <sheetFormatPr baseColWidth="10" defaultColWidth="8.83203125" defaultRowHeight="15" x14ac:dyDescent="0.2"/>
  <cols>
    <col min="1" max="1" width="29" bestFit="1" customWidth="1"/>
    <col min="2" max="2" width="10.5" bestFit="1" customWidth="1"/>
    <col min="3" max="3" width="15.1640625" bestFit="1" customWidth="1"/>
    <col min="4" max="4" width="11.6640625" bestFit="1" customWidth="1"/>
    <col min="5" max="5" width="16.1640625" bestFit="1" customWidth="1"/>
    <col min="6" max="6" width="27.33203125" customWidth="1"/>
    <col min="7" max="11" width="11.6640625" bestFit="1" customWidth="1"/>
    <col min="12" max="13" width="11.164062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640625" bestFit="1" customWidth="1"/>
    <col min="38" max="38" width="12.6640625" bestFit="1" customWidth="1"/>
    <col min="39" max="39" width="11.5" bestFit="1" customWidth="1"/>
    <col min="40" max="40" width="14" bestFit="1" customWidth="1"/>
    <col min="41" max="41" width="14.83203125" bestFit="1" customWidth="1"/>
    <col min="42" max="42" width="15.5" bestFit="1" customWidth="1"/>
    <col min="43" max="43" width="13.6640625" bestFit="1" customWidth="1"/>
    <col min="44" max="44" width="13.83203125" bestFit="1" customWidth="1"/>
    <col min="45" max="45" width="12.5" bestFit="1" customWidth="1"/>
    <col min="46" max="46" width="16.33203125" bestFit="1" customWidth="1"/>
    <col min="47" max="47" width="14.1640625" bestFit="1" customWidth="1"/>
    <col min="48" max="48" width="13.6640625" bestFit="1" customWidth="1"/>
    <col min="49" max="49" width="14.5" bestFit="1" customWidth="1"/>
    <col min="50" max="50" width="13.33203125" bestFit="1" customWidth="1"/>
    <col min="51" max="52" width="11.1640625" bestFit="1" customWidth="1"/>
    <col min="53" max="53" width="15.5" customWidth="1"/>
  </cols>
  <sheetData>
    <row r="1" spans="1:53" ht="26" x14ac:dyDescent="0.3">
      <c r="A1" s="37" t="s">
        <v>0</v>
      </c>
      <c r="B1" s="38"/>
      <c r="C1" s="38"/>
      <c r="D1" s="38"/>
      <c r="E1" s="38"/>
      <c r="F1" s="39"/>
      <c r="G1" s="37" t="s">
        <v>1</v>
      </c>
      <c r="H1" s="38"/>
      <c r="I1" s="38"/>
      <c r="J1" s="38"/>
      <c r="K1" s="38"/>
      <c r="L1" s="38"/>
      <c r="M1" s="3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3" ht="26" x14ac:dyDescent="0.3">
      <c r="A2" s="40"/>
      <c r="B2" s="41"/>
      <c r="C2" s="41"/>
      <c r="D2" s="41"/>
      <c r="E2" s="41"/>
      <c r="F2" s="42"/>
      <c r="G2" s="40"/>
      <c r="H2" s="41"/>
      <c r="I2" s="41"/>
      <c r="J2" s="41"/>
      <c r="K2" s="41"/>
      <c r="L2" s="41"/>
      <c r="M2" s="4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3" ht="26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3" ht="26" x14ac:dyDescent="0.3">
      <c r="A4" s="4" t="s">
        <v>2</v>
      </c>
      <c r="B4" s="43"/>
      <c r="C4" s="44"/>
      <c r="D4" s="5"/>
      <c r="E4" s="4" t="s">
        <v>4</v>
      </c>
      <c r="F4" s="45"/>
      <c r="G4" s="4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3" ht="26" x14ac:dyDescent="0.3">
      <c r="A5" s="4" t="s">
        <v>5</v>
      </c>
      <c r="B5" s="43"/>
      <c r="C5" s="44"/>
      <c r="D5" s="5"/>
      <c r="E5" s="4" t="s">
        <v>6</v>
      </c>
      <c r="F5" s="47"/>
      <c r="G5" s="4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3" ht="26" x14ac:dyDescent="0.3">
      <c r="A6" s="4" t="s">
        <v>7</v>
      </c>
      <c r="B6" s="51"/>
      <c r="C6" s="44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3" ht="26" x14ac:dyDescent="0.3">
      <c r="A7" s="4" t="s">
        <v>8</v>
      </c>
      <c r="B7" s="43"/>
      <c r="C7" s="44"/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3" ht="26" x14ac:dyDescent="0.3">
      <c r="A8" s="4" t="s">
        <v>10</v>
      </c>
      <c r="B8" s="43"/>
      <c r="C8" s="44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3" x14ac:dyDescent="0.2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8"/>
      <c r="R9" s="8"/>
      <c r="S9" s="8"/>
      <c r="T9" s="8"/>
      <c r="U9" s="8"/>
      <c r="V9" s="8"/>
      <c r="X9" s="8"/>
      <c r="Y9" s="8"/>
      <c r="Z9" s="8"/>
      <c r="AA9" s="8"/>
      <c r="AB9" s="8"/>
      <c r="AC9" s="8"/>
      <c r="AD9" s="9"/>
      <c r="AE9" s="9"/>
      <c r="AF9" s="9"/>
      <c r="AG9" s="9"/>
    </row>
    <row r="10" spans="1:53" x14ac:dyDescent="0.2">
      <c r="A10" s="6"/>
      <c r="B10" s="10"/>
      <c r="C10" s="11"/>
      <c r="D10" s="12" t="s">
        <v>12</v>
      </c>
      <c r="E10" s="12" t="s">
        <v>12</v>
      </c>
      <c r="F10" s="12" t="s">
        <v>12</v>
      </c>
      <c r="G10" s="12" t="s">
        <v>12</v>
      </c>
      <c r="H10" s="12" t="s">
        <v>12</v>
      </c>
      <c r="I10" s="12" t="s">
        <v>12</v>
      </c>
      <c r="J10" s="12" t="s">
        <v>12</v>
      </c>
      <c r="K10" s="12" t="s">
        <v>12</v>
      </c>
      <c r="L10" s="12" t="s">
        <v>12</v>
      </c>
      <c r="M10" s="12" t="s">
        <v>12</v>
      </c>
      <c r="N10" s="12" t="s">
        <v>12</v>
      </c>
      <c r="O10" s="12" t="s">
        <v>12</v>
      </c>
      <c r="P10" s="12" t="s">
        <v>12</v>
      </c>
      <c r="Q10" s="12" t="s">
        <v>12</v>
      </c>
      <c r="R10" s="12" t="s">
        <v>12</v>
      </c>
      <c r="S10" s="12" t="s">
        <v>12</v>
      </c>
      <c r="T10" s="12" t="s">
        <v>12</v>
      </c>
      <c r="U10" s="12" t="s">
        <v>12</v>
      </c>
      <c r="V10" s="12" t="s">
        <v>12</v>
      </c>
      <c r="W10" s="12" t="s">
        <v>12</v>
      </c>
      <c r="X10" s="12" t="s">
        <v>12</v>
      </c>
      <c r="Y10" s="12" t="s">
        <v>12</v>
      </c>
      <c r="Z10" s="12" t="s">
        <v>12</v>
      </c>
      <c r="AA10" s="12" t="s">
        <v>12</v>
      </c>
      <c r="AB10" s="12" t="s">
        <v>12</v>
      </c>
      <c r="AC10" s="12" t="s">
        <v>12</v>
      </c>
      <c r="AD10" s="12" t="s">
        <v>12</v>
      </c>
      <c r="AE10" s="12" t="s">
        <v>12</v>
      </c>
      <c r="AF10" s="12" t="s">
        <v>12</v>
      </c>
      <c r="AG10" s="12" t="s">
        <v>12</v>
      </c>
      <c r="AH10" s="12" t="s">
        <v>12</v>
      </c>
      <c r="AI10" s="12" t="s">
        <v>12</v>
      </c>
      <c r="AJ10" s="12" t="s">
        <v>12</v>
      </c>
      <c r="AK10" s="12" t="s">
        <v>12</v>
      </c>
      <c r="AL10" s="12" t="s">
        <v>12</v>
      </c>
      <c r="AM10" s="12" t="s">
        <v>12</v>
      </c>
      <c r="AN10" s="12" t="s">
        <v>12</v>
      </c>
      <c r="AO10" s="12" t="s">
        <v>12</v>
      </c>
      <c r="AP10" s="12" t="s">
        <v>12</v>
      </c>
      <c r="AQ10" s="12" t="s">
        <v>12</v>
      </c>
      <c r="AR10" s="12" t="s">
        <v>12</v>
      </c>
      <c r="AS10" s="12" t="s">
        <v>12</v>
      </c>
      <c r="AT10" s="12" t="s">
        <v>12</v>
      </c>
      <c r="AU10" s="12" t="s">
        <v>12</v>
      </c>
      <c r="AV10" s="12" t="s">
        <v>12</v>
      </c>
      <c r="AW10" s="12" t="s">
        <v>12</v>
      </c>
      <c r="AX10" s="12" t="s">
        <v>12</v>
      </c>
      <c r="AY10" s="12" t="s">
        <v>12</v>
      </c>
      <c r="AZ10" s="12" t="s">
        <v>12</v>
      </c>
      <c r="BA10" s="12" t="s">
        <v>12</v>
      </c>
    </row>
    <row r="11" spans="1:53" x14ac:dyDescent="0.2">
      <c r="A11" s="6"/>
      <c r="B11" s="10"/>
      <c r="C11" s="11" t="s">
        <v>13</v>
      </c>
      <c r="D11" s="11" t="s">
        <v>14</v>
      </c>
      <c r="E11" s="11" t="s">
        <v>15</v>
      </c>
      <c r="F11" s="11" t="s">
        <v>16</v>
      </c>
      <c r="G11" s="49" t="s">
        <v>17</v>
      </c>
      <c r="H11" s="49"/>
      <c r="I11" s="49"/>
      <c r="J11" s="49"/>
      <c r="K11" s="49"/>
      <c r="L11" s="13" t="s">
        <v>18</v>
      </c>
      <c r="M11" s="13" t="s">
        <v>19</v>
      </c>
      <c r="N11" s="52" t="s">
        <v>20</v>
      </c>
      <c r="O11" s="52"/>
      <c r="P11" s="52"/>
      <c r="Q11" s="52"/>
      <c r="R11" s="53" t="s">
        <v>21</v>
      </c>
      <c r="S11" s="53"/>
      <c r="T11" s="53"/>
      <c r="U11" s="53"/>
      <c r="V11" s="53"/>
      <c r="W11" s="53"/>
      <c r="X11" s="53"/>
      <c r="Y11" s="53"/>
      <c r="Z11" s="53"/>
      <c r="AA11" s="49" t="s">
        <v>22</v>
      </c>
      <c r="AB11" s="49"/>
      <c r="AC11" s="49"/>
      <c r="AD11" s="49"/>
      <c r="AE11" s="49" t="s">
        <v>23</v>
      </c>
      <c r="AF11" s="49"/>
      <c r="AG11" s="49"/>
      <c r="AH11" s="49"/>
      <c r="AI11" s="50" t="s">
        <v>24</v>
      </c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 t="s">
        <v>25</v>
      </c>
      <c r="AZ11" s="50"/>
      <c r="BA11" s="30" t="s">
        <v>26</v>
      </c>
    </row>
    <row r="12" spans="1:53" ht="16" x14ac:dyDescent="0.2">
      <c r="A12" s="13"/>
      <c r="B12" s="14"/>
      <c r="C12" s="15" t="s">
        <v>27</v>
      </c>
      <c r="D12" s="16" t="s">
        <v>28</v>
      </c>
      <c r="E12" s="16" t="s">
        <v>29</v>
      </c>
      <c r="F12" s="16" t="s">
        <v>30</v>
      </c>
      <c r="G12" s="17" t="s">
        <v>31</v>
      </c>
      <c r="H12" s="17" t="s">
        <v>32</v>
      </c>
      <c r="I12" s="17" t="s">
        <v>33</v>
      </c>
      <c r="J12" s="17" t="s">
        <v>34</v>
      </c>
      <c r="K12" s="17" t="s">
        <v>34</v>
      </c>
      <c r="L12" s="17" t="s">
        <v>35</v>
      </c>
      <c r="M12" s="17" t="s">
        <v>33</v>
      </c>
      <c r="N12" s="17" t="s">
        <v>36</v>
      </c>
      <c r="O12" s="17" t="s">
        <v>37</v>
      </c>
      <c r="P12" s="17" t="s">
        <v>28</v>
      </c>
      <c r="Q12" s="17" t="s">
        <v>28</v>
      </c>
      <c r="R12" s="17" t="s">
        <v>38</v>
      </c>
      <c r="S12" s="17" t="s">
        <v>38</v>
      </c>
      <c r="T12" s="17" t="s">
        <v>38</v>
      </c>
      <c r="U12" s="17" t="s">
        <v>39</v>
      </c>
      <c r="V12" s="17" t="s">
        <v>39</v>
      </c>
      <c r="W12" s="17" t="s">
        <v>38</v>
      </c>
      <c r="X12" s="17" t="s">
        <v>39</v>
      </c>
      <c r="Y12" s="17" t="s">
        <v>39</v>
      </c>
      <c r="Z12" s="17" t="s">
        <v>38</v>
      </c>
      <c r="AA12" s="17" t="s">
        <v>40</v>
      </c>
      <c r="AB12" s="17" t="s">
        <v>40</v>
      </c>
      <c r="AC12" s="17" t="s">
        <v>41</v>
      </c>
      <c r="AD12" s="17" t="s">
        <v>42</v>
      </c>
      <c r="AE12" s="17" t="s">
        <v>43</v>
      </c>
      <c r="AF12" s="17" t="s">
        <v>43</v>
      </c>
      <c r="AG12" s="17" t="s">
        <v>43</v>
      </c>
      <c r="AH12" s="17" t="s">
        <v>44</v>
      </c>
      <c r="AI12" s="18" t="s">
        <v>45</v>
      </c>
      <c r="AJ12" s="18" t="s">
        <v>45</v>
      </c>
      <c r="AK12" s="18" t="s">
        <v>45</v>
      </c>
      <c r="AL12" s="18" t="s">
        <v>45</v>
      </c>
      <c r="AM12" s="18" t="s">
        <v>45</v>
      </c>
      <c r="AN12" s="18" t="s">
        <v>45</v>
      </c>
      <c r="AO12" s="18" t="s">
        <v>45</v>
      </c>
      <c r="AP12" s="18" t="s">
        <v>45</v>
      </c>
      <c r="AQ12" s="18" t="s">
        <v>45</v>
      </c>
      <c r="AR12" s="18" t="s">
        <v>45</v>
      </c>
      <c r="AS12" s="18" t="s">
        <v>45</v>
      </c>
      <c r="AT12" s="18" t="s">
        <v>45</v>
      </c>
      <c r="AU12" s="18" t="s">
        <v>45</v>
      </c>
      <c r="AV12" s="18" t="s">
        <v>45</v>
      </c>
      <c r="AW12" s="18" t="s">
        <v>45</v>
      </c>
      <c r="AX12" s="18" t="s">
        <v>45</v>
      </c>
      <c r="AY12" s="17" t="s">
        <v>45</v>
      </c>
      <c r="AZ12" s="17" t="s">
        <v>45</v>
      </c>
      <c r="BA12" s="31" t="s">
        <v>46</v>
      </c>
    </row>
    <row r="13" spans="1:53" ht="16" thickBot="1" x14ac:dyDescent="0.25">
      <c r="A13" s="19" t="s">
        <v>47</v>
      </c>
      <c r="B13" s="20" t="s">
        <v>48</v>
      </c>
      <c r="C13" s="19" t="s">
        <v>49</v>
      </c>
      <c r="D13" s="19" t="s">
        <v>14</v>
      </c>
      <c r="E13" s="19" t="s">
        <v>29</v>
      </c>
      <c r="F13" s="19" t="s">
        <v>50</v>
      </c>
      <c r="G13" s="19" t="s">
        <v>51</v>
      </c>
      <c r="H13" s="19" t="s">
        <v>52</v>
      </c>
      <c r="I13" s="21" t="s">
        <v>53</v>
      </c>
      <c r="J13" s="21" t="s">
        <v>54</v>
      </c>
      <c r="K13" s="21" t="s">
        <v>55</v>
      </c>
      <c r="L13" s="21" t="s">
        <v>56</v>
      </c>
      <c r="M13" s="21" t="s">
        <v>19</v>
      </c>
      <c r="N13" s="21" t="s">
        <v>57</v>
      </c>
      <c r="O13" s="21" t="s">
        <v>58</v>
      </c>
      <c r="P13" s="21" t="s">
        <v>59</v>
      </c>
      <c r="Q13" s="21" t="s">
        <v>60</v>
      </c>
      <c r="R13" s="22" t="s">
        <v>61</v>
      </c>
      <c r="S13" s="23" t="s">
        <v>62</v>
      </c>
      <c r="T13" s="23" t="s">
        <v>63</v>
      </c>
      <c r="U13" s="23" t="s">
        <v>64</v>
      </c>
      <c r="V13" s="23" t="s">
        <v>65</v>
      </c>
      <c r="W13" s="23" t="s">
        <v>66</v>
      </c>
      <c r="X13" s="23" t="s">
        <v>67</v>
      </c>
      <c r="Y13" s="23" t="s">
        <v>68</v>
      </c>
      <c r="Z13" s="23" t="s">
        <v>69</v>
      </c>
      <c r="AA13" s="54" t="s">
        <v>70</v>
      </c>
      <c r="AB13" s="54" t="s">
        <v>71</v>
      </c>
      <c r="AC13" s="54" t="s">
        <v>72</v>
      </c>
      <c r="AD13" s="54" t="s">
        <v>73</v>
      </c>
      <c r="AE13" s="23" t="s">
        <v>74</v>
      </c>
      <c r="AF13" s="22" t="s">
        <v>75</v>
      </c>
      <c r="AG13" s="22" t="s">
        <v>76</v>
      </c>
      <c r="AH13" s="22" t="s">
        <v>77</v>
      </c>
      <c r="AI13" s="55" t="s">
        <v>78</v>
      </c>
      <c r="AJ13" s="55" t="s">
        <v>79</v>
      </c>
      <c r="AK13" s="55" t="s">
        <v>80</v>
      </c>
      <c r="AL13" s="55" t="s">
        <v>81</v>
      </c>
      <c r="AM13" s="55" t="s">
        <v>82</v>
      </c>
      <c r="AN13" s="55" t="s">
        <v>83</v>
      </c>
      <c r="AO13" s="55" t="s">
        <v>84</v>
      </c>
      <c r="AP13" s="55" t="s">
        <v>85</v>
      </c>
      <c r="AQ13" s="55" t="s">
        <v>86</v>
      </c>
      <c r="AR13" s="55" t="s">
        <v>87</v>
      </c>
      <c r="AS13" s="55" t="s">
        <v>88</v>
      </c>
      <c r="AT13" s="55" t="s">
        <v>89</v>
      </c>
      <c r="AU13" s="55" t="s">
        <v>90</v>
      </c>
      <c r="AV13" s="55" t="s">
        <v>91</v>
      </c>
      <c r="AW13" s="55" t="s">
        <v>92</v>
      </c>
      <c r="AX13" s="55" t="s">
        <v>93</v>
      </c>
      <c r="AY13" s="22" t="s">
        <v>94</v>
      </c>
      <c r="AZ13" s="22" t="s">
        <v>95</v>
      </c>
      <c r="BA13" s="32" t="s">
        <v>26</v>
      </c>
    </row>
    <row r="14" spans="1:53" ht="16" x14ac:dyDescent="0.2">
      <c r="A14" s="24" t="s">
        <v>96</v>
      </c>
      <c r="B14" s="25"/>
      <c r="C14" s="13" t="s">
        <v>97</v>
      </c>
      <c r="D14" s="13"/>
      <c r="E14" s="13"/>
      <c r="F14" s="13"/>
      <c r="G14" s="26"/>
      <c r="H14" s="26"/>
      <c r="I14" s="17"/>
      <c r="J14" s="17"/>
      <c r="K14" s="17"/>
      <c r="L14" s="17"/>
      <c r="M14" s="27" t="e">
        <f>(L14/(((H14*10)/64500)*10^6))*100</f>
        <v>#DIV/0!</v>
      </c>
      <c r="N14" s="27"/>
      <c r="O14" s="27"/>
      <c r="P14" s="27"/>
      <c r="Q14" s="27"/>
      <c r="R14" s="17"/>
      <c r="S14" s="28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9"/>
      <c r="AG14" s="9"/>
      <c r="AH14" s="9"/>
      <c r="AZ14" s="34"/>
    </row>
    <row r="15" spans="1:53" ht="16" x14ac:dyDescent="0.2">
      <c r="A15" s="15" t="s">
        <v>98</v>
      </c>
      <c r="B15" s="25"/>
      <c r="C15" s="13" t="s">
        <v>97</v>
      </c>
      <c r="D15" s="13"/>
      <c r="E15" s="13"/>
      <c r="F15" s="13"/>
      <c r="G15" s="17"/>
      <c r="H15" s="17"/>
      <c r="I15" s="17"/>
      <c r="J15" s="17"/>
      <c r="K15" s="17"/>
      <c r="L15" s="17"/>
      <c r="M15" s="27" t="e">
        <f t="shared" ref="M15:M20" si="0">(L15/(((H15*10)/64500)*10^6))*100</f>
        <v>#DIV/0!</v>
      </c>
      <c r="N15" s="27"/>
      <c r="O15" s="27"/>
      <c r="P15" s="27"/>
      <c r="Q15" s="2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9"/>
      <c r="AG15" s="9"/>
      <c r="AH15" s="9"/>
      <c r="AZ15" s="34"/>
    </row>
    <row r="16" spans="1:53" ht="16" x14ac:dyDescent="0.2">
      <c r="A16" s="15" t="s">
        <v>99</v>
      </c>
      <c r="B16" s="25"/>
      <c r="C16" s="13" t="s">
        <v>97</v>
      </c>
      <c r="D16" s="13"/>
      <c r="E16" s="13"/>
      <c r="F16" s="13"/>
      <c r="G16" s="17"/>
      <c r="H16" s="17"/>
      <c r="I16" s="17"/>
      <c r="J16" s="17"/>
      <c r="K16" s="17"/>
      <c r="L16" s="17"/>
      <c r="M16" s="27" t="e">
        <f t="shared" si="0"/>
        <v>#DIV/0!</v>
      </c>
      <c r="N16" s="27"/>
      <c r="O16" s="27"/>
      <c r="P16" s="27"/>
      <c r="Q16" s="2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9"/>
      <c r="AG16" s="9"/>
      <c r="AH16" s="9"/>
      <c r="AZ16" s="34"/>
    </row>
    <row r="17" spans="1:52" ht="16" x14ac:dyDescent="0.2">
      <c r="A17" s="15" t="s">
        <v>100</v>
      </c>
      <c r="B17" s="25"/>
      <c r="C17" s="13" t="s">
        <v>97</v>
      </c>
      <c r="D17" s="13"/>
      <c r="E17" s="13"/>
      <c r="F17" s="13"/>
      <c r="G17" s="17"/>
      <c r="H17" s="17"/>
      <c r="I17" s="17"/>
      <c r="J17" s="17"/>
      <c r="K17" s="17"/>
      <c r="L17" s="17"/>
      <c r="M17" s="27" t="e">
        <f t="shared" si="0"/>
        <v>#DIV/0!</v>
      </c>
      <c r="N17" s="27"/>
      <c r="O17" s="27"/>
      <c r="P17" s="27"/>
      <c r="Q17" s="2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9"/>
      <c r="AG17" s="9"/>
      <c r="AH17" s="9"/>
      <c r="AZ17" s="34"/>
    </row>
    <row r="18" spans="1:52" ht="16" x14ac:dyDescent="0.2">
      <c r="A18" s="15" t="s">
        <v>101</v>
      </c>
      <c r="B18" s="25"/>
      <c r="C18" s="13" t="s">
        <v>97</v>
      </c>
      <c r="D18" s="13"/>
      <c r="E18" s="13"/>
      <c r="F18" s="13"/>
      <c r="G18" s="17"/>
      <c r="H18" s="17"/>
      <c r="I18" s="17"/>
      <c r="J18" s="17"/>
      <c r="K18" s="17"/>
      <c r="L18" s="17"/>
      <c r="M18" s="27" t="e">
        <f t="shared" si="0"/>
        <v>#DIV/0!</v>
      </c>
      <c r="N18" s="27"/>
      <c r="O18" s="27"/>
      <c r="P18" s="27"/>
      <c r="Q18" s="2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9"/>
      <c r="AG18" s="9"/>
      <c r="AH18" s="9"/>
      <c r="AZ18" s="34"/>
    </row>
    <row r="19" spans="1:52" ht="16" x14ac:dyDescent="0.2">
      <c r="A19" s="15" t="s">
        <v>102</v>
      </c>
      <c r="B19" s="25"/>
      <c r="C19" s="13" t="s">
        <v>97</v>
      </c>
      <c r="D19" s="13"/>
      <c r="E19" s="13"/>
      <c r="F19" s="13"/>
      <c r="G19" s="17"/>
      <c r="H19" s="17"/>
      <c r="I19" s="17"/>
      <c r="J19" s="17"/>
      <c r="K19" s="17"/>
      <c r="L19" s="17"/>
      <c r="M19" s="27" t="e">
        <f t="shared" si="0"/>
        <v>#DIV/0!</v>
      </c>
      <c r="N19" s="27"/>
      <c r="O19" s="27"/>
      <c r="P19" s="27"/>
      <c r="Q19" s="2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9"/>
      <c r="AG19" s="9"/>
      <c r="AH19" s="9"/>
      <c r="AZ19" s="34"/>
    </row>
    <row r="20" spans="1:52" ht="16" x14ac:dyDescent="0.2">
      <c r="A20" s="15" t="s">
        <v>103</v>
      </c>
      <c r="B20" s="25"/>
      <c r="C20" s="13" t="s">
        <v>97</v>
      </c>
      <c r="D20" s="13"/>
      <c r="E20" s="13"/>
      <c r="F20" s="13"/>
      <c r="G20" s="17"/>
      <c r="H20" s="17"/>
      <c r="I20" s="17"/>
      <c r="J20" s="17"/>
      <c r="K20" s="17"/>
      <c r="L20" s="17"/>
      <c r="M20" s="27" t="e">
        <f t="shared" si="0"/>
        <v>#DIV/0!</v>
      </c>
      <c r="N20" s="27"/>
      <c r="O20" s="27"/>
      <c r="P20" s="27"/>
      <c r="Q20" s="27"/>
      <c r="R20" s="17"/>
      <c r="S20" s="17"/>
      <c r="T20" s="17"/>
      <c r="U20" s="17"/>
      <c r="V20" s="17"/>
      <c r="W20" s="17"/>
      <c r="X20" s="17"/>
      <c r="Y20" s="17"/>
      <c r="Z20" s="17"/>
      <c r="AA20" s="8"/>
      <c r="AB20" s="8"/>
      <c r="AC20" s="8"/>
      <c r="AD20" s="8"/>
      <c r="AE20" s="8"/>
      <c r="AF20" s="8"/>
      <c r="AG20" s="9"/>
      <c r="AH20" s="9"/>
      <c r="AZ20" s="34"/>
    </row>
    <row r="21" spans="1:52" x14ac:dyDescent="0.2">
      <c r="A21" s="6"/>
      <c r="B21" s="29"/>
      <c r="C21" s="29"/>
      <c r="D21" s="29"/>
      <c r="E21" s="29"/>
      <c r="F21" s="29"/>
      <c r="G21" s="2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52" x14ac:dyDescent="0.2">
      <c r="A22" s="6"/>
      <c r="B22" s="29"/>
      <c r="C22" s="29"/>
      <c r="D22" s="29"/>
      <c r="E22" s="29"/>
      <c r="F22" s="29"/>
      <c r="G22" s="2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52" x14ac:dyDescent="0.2">
      <c r="A23" s="6"/>
      <c r="B23" s="29"/>
      <c r="C23" s="29"/>
      <c r="D23" s="29"/>
      <c r="E23" s="29"/>
      <c r="F23" s="29"/>
      <c r="G23" s="2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52" x14ac:dyDescent="0.2">
      <c r="A24" s="6"/>
      <c r="B24" s="29"/>
      <c r="C24" s="29"/>
      <c r="D24" s="29"/>
      <c r="E24" s="29"/>
      <c r="F24" s="29"/>
      <c r="G24" s="2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52" x14ac:dyDescent="0.2">
      <c r="A25" s="6"/>
      <c r="B25" s="29"/>
      <c r="C25" s="29"/>
      <c r="D25" s="29"/>
      <c r="E25" s="29"/>
      <c r="F25" s="29"/>
      <c r="G25" s="2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52" x14ac:dyDescent="0.2">
      <c r="A26" s="6"/>
      <c r="B26" s="29"/>
      <c r="C26" s="29"/>
      <c r="D26" s="29"/>
      <c r="E26" s="29"/>
      <c r="F26" s="29"/>
      <c r="G26" s="2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1" priority="1" operator="equal">
      <formula>"incomplete"</formula>
    </cfRule>
    <cfRule type="cellIs" dxfId="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CDA1C047-A773-4436-B30D-3A300CD09FD6}">
      <formula1>"incomplete, COMPLETED"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C2466963A904BB23192EC9D358B12" ma:contentTypeVersion="9" ma:contentTypeDescription="Create a new document." ma:contentTypeScope="" ma:versionID="613a77fa3611dfbed66c3c0c69899a4f">
  <xsd:schema xmlns:xsd="http://www.w3.org/2001/XMLSchema" xmlns:xs="http://www.w3.org/2001/XMLSchema" xmlns:p="http://schemas.microsoft.com/office/2006/metadata/properties" xmlns:ns2="7876ae4f-b1ec-4a4d-a051-9d6b88a289e3" xmlns:ns3="ebe5af6f-5c8e-4f88-85c2-d79f32646e78" targetNamespace="http://schemas.microsoft.com/office/2006/metadata/properties" ma:root="true" ma:fieldsID="46e511eeae4d50c06d67a0442a610751" ns2:_="" ns3:_="">
    <xsd:import namespace="7876ae4f-b1ec-4a4d-a051-9d6b88a289e3"/>
    <xsd:import namespace="ebe5af6f-5c8e-4f88-85c2-d79f32646e78"/>
    <xsd:element name="properties">
      <xsd:complexType>
        <xsd:sequence>
          <xsd:element name="documentManagement">
            <xsd:complexType>
              <xsd:all>
                <xsd:element ref="ns2:Sample_x0020_Type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RelatedSite" minOccurs="0"/>
                <xsd:element ref="ns2:Purpos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ae4f-b1ec-4a4d-a051-9d6b88a289e3" elementFormDefault="qualified">
    <xsd:import namespace="http://schemas.microsoft.com/office/2006/documentManagement/types"/>
    <xsd:import namespace="http://schemas.microsoft.com/office/infopath/2007/PartnerControls"/>
    <xsd:element name="Sample_x0020_Type" ma:index="8" ma:displayName="Sample Type" ma:description="Select the appropriate Type of Sample being tested" ma:format="Dropdown" ma:internalName="Sample_x0020_Type">
      <xsd:simpleType>
        <xsd:restriction base="dms:Choice">
          <xsd:enumeration value="TPP"/>
          <xsd:enumeration value="Results"/>
          <xsd:enumeration value="Rabbit"/>
          <xsd:enumeration value="WBA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latedSite" ma:index="13" nillable="true" ma:displayName="Related Site" ma:description="Choose tje Site Related to this Assay Result sheet" ma:format="Dropdown" ma:internalName="RelatedSite">
      <xsd:simpleType>
        <xsd:restriction base="dms:Choice">
          <xsd:enumeration value="CWRU"/>
          <xsd:enumeration value="PITT"/>
          <xsd:enumeration value="UMB"/>
          <xsd:enumeration value="UCSD"/>
        </xsd:restriction>
      </xsd:simpleType>
    </xsd:element>
    <xsd:element name="Purpose" ma:index="14" nillable="true" ma:displayName="Purpose" ma:description="Select the appropriate Purpose of this Assay Sheet" ma:format="Dropdown" ma:internalName="Purpose">
      <xsd:simpleType>
        <xsd:restriction base="dms:Choice">
          <xsd:enumeration value="Tx"/>
          <xsd:enumeration value="Calibration"/>
          <xsd:enumeration value="IV-I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5af6f-5c8e-4f88-85c2-d79f32646e7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ample_x0020_Type xmlns="7876ae4f-b1ec-4a4d-a051-9d6b88a289e3">Rabbit</Sample_x0020_Type>
    <RelatedSite xmlns="7876ae4f-b1ec-4a4d-a051-9d6b88a289e3">UMB</RelatedSite>
    <Purpose xmlns="7876ae4f-b1ec-4a4d-a051-9d6b88a289e3">Tx</Purpose>
  </documentManagement>
</p:properties>
</file>

<file path=customXml/itemProps1.xml><?xml version="1.0" encoding="utf-8"?>
<ds:datastoreItem xmlns:ds="http://schemas.openxmlformats.org/officeDocument/2006/customXml" ds:itemID="{CDF10975-0A82-4D8F-899B-45DCBC0AB7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B9205D-C4EF-425B-87A3-25BA8DAD0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6ae4f-b1ec-4a4d-a051-9d6b88a289e3"/>
    <ds:schemaRef ds:uri="ebe5af6f-5c8e-4f88-85c2-d79f32646e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130E8A-D473-431E-8943-217E73EB3D42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elements/1.1/"/>
    <ds:schemaRef ds:uri="7876ae4f-b1ec-4a4d-a051-9d6b88a289e3"/>
    <ds:schemaRef ds:uri="ebe5af6f-5c8e-4f88-85c2-d79f32646e78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A-EMv4.15-SAC 01</vt:lpstr>
      <vt:lpstr>A-EMv4.15-SAC 02</vt:lpstr>
      <vt:lpstr>Round 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Renaldo, Antonio</dc:creator>
  <cp:keywords/>
  <dc:description/>
  <cp:lastModifiedBy>yzhang9@rx.umaryland.edu</cp:lastModifiedBy>
  <cp:revision/>
  <dcterms:created xsi:type="dcterms:W3CDTF">2025-06-12T19:34:14Z</dcterms:created>
  <dcterms:modified xsi:type="dcterms:W3CDTF">2026-03-13T19:12:38Z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0x0101001EEC2466963A904BB23192EC9D358B12</vt:lpwstr>
  </property>
  <property fmtid="{D5CDD505-2E9C-101B-9397-08002B2CF9AE}" pid="3" name="MediaServiceImageTags">
    <vt:lpwstr/>
  </property>
</Properties>
</file>
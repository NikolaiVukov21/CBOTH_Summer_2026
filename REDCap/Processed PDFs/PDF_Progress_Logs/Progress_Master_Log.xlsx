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ko\CBOTH_Summer_2026\REDCap\Processed PDFs\PDF_Progress_Logs\"/>
    </mc:Choice>
  </mc:AlternateContent>
  <xr:revisionPtr revIDLastSave="0" documentId="13_ncr:1_{C41A7C42-ECCE-4A49-9D04-170043D8A925}" xr6:coauthVersionLast="47" xr6:coauthVersionMax="47" xr10:uidLastSave="{00000000-0000-0000-0000-000000000000}"/>
  <bookViews>
    <workbookView xWindow="-108" yWindow="-108" windowWidth="23256" windowHeight="12456" xr2:uid="{9D3E795A-54DE-4870-9FD9-0CEE3D0ACF84}"/>
  </bookViews>
  <sheets>
    <sheet name="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K7" i="1"/>
  <c r="J6" i="1"/>
  <c r="J5" i="1"/>
  <c r="K5" i="1"/>
  <c r="K6" i="1"/>
  <c r="K4" i="1"/>
  <c r="J4" i="1"/>
  <c r="K2" i="1"/>
  <c r="J2" i="1"/>
  <c r="K3" i="1"/>
  <c r="J3" i="1"/>
</calcChain>
</file>

<file path=xl/sharedStrings.xml><?xml version="1.0" encoding="utf-8"?>
<sst xmlns="http://schemas.openxmlformats.org/spreadsheetml/2006/main" count="29" uniqueCount="24">
  <si>
    <t>9/30/2026  - 11:57:00 AM</t>
  </si>
  <si>
    <t>Date - Time</t>
  </si>
  <si>
    <t>Change Log</t>
  </si>
  <si>
    <t>Incorporate "Parsed_PDF" into the processing framework</t>
  </si>
  <si>
    <t>Models Used</t>
  </si>
  <si>
    <t>Model(s)</t>
  </si>
  <si>
    <t>Pages</t>
  </si>
  <si>
    <t>Matches Found:</t>
  </si>
  <si>
    <t>Total Fields</t>
  </si>
  <si>
    <t>Incorrect Fields</t>
  </si>
  <si>
    <t>Missing Fields</t>
  </si>
  <si>
    <t>Accuracy %</t>
  </si>
  <si>
    <t>AWBAEM 16</t>
  </si>
  <si>
    <t>9/30/2026  - 01:03:00 PM</t>
  </si>
  <si>
    <t>Base</t>
  </si>
  <si>
    <t>9/30/2026 - 2:27:00 PM</t>
  </si>
  <si>
    <t>Incorporate "fix_ocr_number_confusion" into "Normalize_Cell"</t>
  </si>
  <si>
    <t>Average T.T.P Per Page - Seconds</t>
  </si>
  <si>
    <t>10/01/2026 - 11:52:00 AM</t>
  </si>
  <si>
    <t>Removed "fix_ocr_number_confusion", testing console progress logs</t>
  </si>
  <si>
    <t>Added "Future" and "Purrr" to utilize Multiple Processing Cores - Speeds up Processing</t>
  </si>
  <si>
    <t>10/01/2026 - Never Ran</t>
  </si>
  <si>
    <t>10/1/2026 - 1:58:00 PM</t>
  </si>
  <si>
    <t>Vectorized "Normal_Cell"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</si>
</sst>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0" fontId="0" fillId="0" borderId="0" xfId="0" applyNumberFormat="1"/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B268-3124-4427-87F3-9611EA32450D}">
  <dimension ref="B1:P7"/>
  <sheetViews>
    <sheetView tabSelected="1" workbookViewId="0">
      <selection activeCell="L5" sqref="L5"/>
    </sheetView>
  </sheetViews>
  <sheetFormatPr defaultRowHeight="14.4" x14ac:dyDescent="0.3"/>
  <cols>
    <col min="2" max="2" width="21.33203125" bestFit="1" customWidth="1"/>
    <col min="3" max="3" width="56" bestFit="1" customWidth="1"/>
    <col min="4" max="4" width="11.21875" bestFit="1" customWidth="1"/>
    <col min="5" max="5" width="10.77734375" bestFit="1" customWidth="1"/>
    <col min="6" max="6" width="5.88671875" bestFit="1" customWidth="1"/>
    <col min="7" max="7" width="13.88671875" bestFit="1" customWidth="1"/>
    <col min="8" max="8" width="10" bestFit="1" customWidth="1"/>
    <col min="9" max="9" width="13.5546875" bestFit="1" customWidth="1"/>
    <col min="10" max="10" width="12.109375" bestFit="1" customWidth="1"/>
    <col min="11" max="11" width="10.44140625" bestFit="1" customWidth="1"/>
    <col min="12" max="12" width="26.77734375" bestFit="1" customWidth="1"/>
    <col min="14" max="14" width="11.77734375" bestFit="1" customWidth="1"/>
  </cols>
  <sheetData>
    <row r="1" spans="2:16" x14ac:dyDescent="0.3"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17</v>
      </c>
      <c r="M1" s="2"/>
      <c r="O1" s="2"/>
      <c r="P1" s="2"/>
    </row>
    <row r="2" spans="2:16" x14ac:dyDescent="0.3">
      <c r="B2" s="1" t="s">
        <v>13</v>
      </c>
      <c r="C2" t="s">
        <v>14</v>
      </c>
      <c r="D2">
        <v>1</v>
      </c>
      <c r="E2" t="s">
        <v>12</v>
      </c>
      <c r="F2">
        <v>40</v>
      </c>
      <c r="G2">
        <v>172</v>
      </c>
      <c r="H2">
        <v>176</v>
      </c>
      <c r="I2">
        <v>3</v>
      </c>
      <c r="J2">
        <f>H2-G2</f>
        <v>4</v>
      </c>
      <c r="K2" s="4">
        <f>(G2-I2)/H2</f>
        <v>0.96022727272727271</v>
      </c>
      <c r="L2" s="3">
        <v>19.165965098142628</v>
      </c>
      <c r="O2" s="3"/>
      <c r="P2" s="3"/>
    </row>
    <row r="3" spans="2:16" x14ac:dyDescent="0.3">
      <c r="B3" s="1" t="s">
        <v>0</v>
      </c>
      <c r="C3" t="s">
        <v>3</v>
      </c>
      <c r="D3">
        <v>1</v>
      </c>
      <c r="E3" t="s">
        <v>12</v>
      </c>
      <c r="F3">
        <v>40</v>
      </c>
      <c r="G3">
        <v>172</v>
      </c>
      <c r="H3">
        <v>176</v>
      </c>
      <c r="I3">
        <v>3</v>
      </c>
      <c r="J3">
        <f>H3-G3</f>
        <v>4</v>
      </c>
      <c r="K3" s="4">
        <f>(G3-I3)/H3</f>
        <v>0.96022727272727271</v>
      </c>
      <c r="L3" s="3">
        <v>12.407570302486418</v>
      </c>
    </row>
    <row r="4" spans="2:16" x14ac:dyDescent="0.3">
      <c r="B4" s="1" t="s">
        <v>15</v>
      </c>
      <c r="C4" t="s">
        <v>16</v>
      </c>
      <c r="D4">
        <v>1</v>
      </c>
      <c r="E4" t="s">
        <v>12</v>
      </c>
      <c r="F4">
        <v>40</v>
      </c>
      <c r="G4">
        <v>172</v>
      </c>
      <c r="H4">
        <v>176</v>
      </c>
      <c r="I4">
        <v>6</v>
      </c>
      <c r="J4">
        <f>H4-G4</f>
        <v>4</v>
      </c>
      <c r="K4" s="4">
        <f>(G4-I4)/H4</f>
        <v>0.94318181818181823</v>
      </c>
      <c r="L4" s="3">
        <v>13.407288050651553</v>
      </c>
    </row>
    <row r="5" spans="2:16" x14ac:dyDescent="0.3">
      <c r="B5" s="1" t="s">
        <v>18</v>
      </c>
      <c r="C5" t="s">
        <v>19</v>
      </c>
      <c r="D5">
        <v>1</v>
      </c>
      <c r="E5" t="s">
        <v>12</v>
      </c>
      <c r="F5">
        <v>40</v>
      </c>
      <c r="G5">
        <v>172</v>
      </c>
      <c r="H5">
        <v>176</v>
      </c>
      <c r="I5">
        <v>3</v>
      </c>
      <c r="J5">
        <f>H5-G5</f>
        <v>4</v>
      </c>
      <c r="K5" s="4">
        <f t="shared" ref="K5:K7" si="0">(G5-I5)/H5</f>
        <v>0.96022727272727271</v>
      </c>
      <c r="L5" s="3">
        <v>12.731668126583093</v>
      </c>
    </row>
    <row r="6" spans="2:16" s="6" customFormat="1" x14ac:dyDescent="0.3">
      <c r="B6" s="5" t="s">
        <v>21</v>
      </c>
      <c r="C6" s="6" t="s">
        <v>20</v>
      </c>
      <c r="D6" s="6">
        <v>1</v>
      </c>
      <c r="E6" s="6" t="s">
        <v>12</v>
      </c>
      <c r="F6" s="6">
        <v>40</v>
      </c>
      <c r="H6" s="6">
        <v>176</v>
      </c>
      <c r="J6" s="6">
        <f>H6-G6</f>
        <v>176</v>
      </c>
      <c r="K6" s="7">
        <f t="shared" si="0"/>
        <v>0</v>
      </c>
    </row>
    <row r="7" spans="2:16" x14ac:dyDescent="0.3">
      <c r="B7" s="1" t="s">
        <v>22</v>
      </c>
      <c r="C7" t="s">
        <v>23</v>
      </c>
      <c r="D7">
        <v>1</v>
      </c>
      <c r="E7" t="s">
        <v>12</v>
      </c>
      <c r="F7">
        <v>40</v>
      </c>
      <c r="H7">
        <v>176</v>
      </c>
      <c r="J7">
        <f>H7-G7</f>
        <v>176</v>
      </c>
      <c r="K7" s="4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2026-09-30T15:57:27Z</dcterms:created>
  <dcterms:modified xsi:type="dcterms:W3CDTF">2026-10-01T18:57:22Z</dcterms:modified>
</cp:coreProperties>
</file>
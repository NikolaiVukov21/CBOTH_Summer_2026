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sting\REDCap_TestSheets\"/>
    </mc:Choice>
  </mc:AlternateContent>
  <xr:revisionPtr revIDLastSave="0" documentId="13_ncr:1_{DE48EDDF-D8FB-4763-BBE0-48CF16A29CB0}" xr6:coauthVersionLast="47" xr6:coauthVersionMax="47" xr10:uidLastSave="{00000000-0000-0000-0000-000000000000}"/>
  <bookViews>
    <workbookView xWindow="-108" yWindow="-108" windowWidth="23256" windowHeight="12456" xr2:uid="{115E3380-263E-460B-BE56-F11D0EF2B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1" l="1"/>
  <c r="P6" i="1"/>
  <c r="P5" i="1"/>
  <c r="O7" i="1"/>
  <c r="O5" i="1"/>
  <c r="O6" i="1" s="1"/>
  <c r="K6" i="1"/>
  <c r="K5" i="1"/>
  <c r="AF15" i="1" a="1"/>
  <c r="AF15" i="1" s="1"/>
  <c r="AD15" i="1" a="1"/>
  <c r="AD15" i="1" s="1"/>
  <c r="AC15" i="1" a="1"/>
  <c r="AC15" i="1" s="1"/>
  <c r="AB15" i="1" a="1"/>
  <c r="AB15" i="1" s="1"/>
  <c r="AA15" i="1" a="1"/>
  <c r="AA15" i="1" s="1"/>
  <c r="Z15" i="1" a="1"/>
  <c r="Z15" i="1" s="1"/>
  <c r="Y15" i="1" a="1"/>
  <c r="Y15" i="1" s="1"/>
  <c r="X15" i="1" a="1"/>
  <c r="X15" i="1" s="1"/>
  <c r="W15" i="1" a="1"/>
  <c r="W15" i="1" s="1"/>
  <c r="V15" i="1" a="1"/>
  <c r="V15" i="1" s="1"/>
  <c r="U15" i="1" a="1"/>
  <c r="U15" i="1" s="1"/>
  <c r="T15" i="1" a="1"/>
  <c r="T15" i="1" s="1"/>
  <c r="S15" i="1" a="1"/>
  <c r="S15" i="1" s="1"/>
  <c r="R15" i="1" a="1"/>
  <c r="R15" i="1" s="1"/>
  <c r="Q15" i="1" a="1"/>
  <c r="Q15" i="1" s="1"/>
  <c r="P15" i="1" a="1"/>
  <c r="P15" i="1" s="1"/>
  <c r="O15" i="1" a="1"/>
  <c r="O15" i="1" s="1"/>
  <c r="N15" i="1" a="1"/>
  <c r="N15" i="1" s="1"/>
  <c r="L15" i="1" a="1"/>
  <c r="L15" i="1" s="1"/>
  <c r="K15" i="1" a="1"/>
  <c r="K15" i="1" s="1"/>
  <c r="J15" i="1" a="1"/>
  <c r="J15" i="1" s="1"/>
  <c r="I15" i="1" a="1"/>
  <c r="I15" i="1" s="1"/>
  <c r="H15" i="1" a="1"/>
  <c r="H15" i="1" s="1"/>
  <c r="G15" i="1" a="1"/>
  <c r="G15" i="1" s="1"/>
  <c r="F15" i="1" a="1"/>
  <c r="F15" i="1" s="1"/>
  <c r="E15" i="1" a="1"/>
  <c r="E15" i="1" s="1"/>
  <c r="D16" i="1"/>
  <c r="D17" i="1"/>
  <c r="D18" i="1"/>
  <c r="D19" i="1"/>
  <c r="D20" i="1"/>
  <c r="D21" i="1"/>
  <c r="D22" i="1"/>
  <c r="D23" i="1"/>
  <c r="D24" i="1"/>
  <c r="D15" i="1"/>
  <c r="B16" i="1"/>
  <c r="B17" i="1"/>
  <c r="B18" i="1"/>
  <c r="B19" i="1"/>
  <c r="B20" i="1"/>
  <c r="B21" i="1"/>
  <c r="B22" i="1"/>
  <c r="B23" i="1"/>
  <c r="B24" i="1"/>
  <c r="B15" i="1"/>
  <c r="F5" i="1"/>
  <c r="F6" i="1" s="1"/>
  <c r="B9" i="1"/>
  <c r="C8" i="1"/>
  <c r="B8" i="1"/>
  <c r="B7" i="1"/>
  <c r="B6" i="1" a="1"/>
  <c r="B6" i="1" s="1"/>
  <c r="M17" i="1" l="1"/>
  <c r="M23" i="1"/>
  <c r="M21" i="1"/>
  <c r="M18" i="1"/>
  <c r="M16" i="1"/>
  <c r="M24" i="1"/>
  <c r="M22" i="1"/>
  <c r="M20" i="1"/>
  <c r="M19" i="1"/>
  <c r="M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<sst xmlns="http://schemas.openxmlformats.org/spreadsheetml/2006/main" count="201" uniqueCount="112">
  <si>
    <t>CONCERT: Rabbit C-LRH (YR1/YR2) - UMB</t>
  </si>
  <si>
    <t>Please insert data from only 1 unit per Round</t>
  </si>
  <si>
    <t>Loading Dose:</t>
  </si>
  <si>
    <t>(5 min)</t>
  </si>
  <si>
    <t>gTT:</t>
  </si>
  <si>
    <t>(4 hrs)</t>
  </si>
  <si>
    <t>Recipient rabbit ID:</t>
  </si>
  <si>
    <t>C-LRH 01</t>
  </si>
  <si>
    <t>Exclude rabbit?</t>
  </si>
  <si>
    <t>DAMP Loading Info:</t>
  </si>
  <si>
    <t>Bone Marrow Vol (mL)</t>
  </si>
  <si>
    <t>Rabbit weight:</t>
  </si>
  <si>
    <t>Reason:</t>
  </si>
  <si>
    <t>DAMP gTT Info:</t>
  </si>
  <si>
    <t>Brain Tissue Vol (mL)</t>
  </si>
  <si>
    <t>Transfusion date:</t>
  </si>
  <si>
    <t>Total DAMP Vol (mL)</t>
  </si>
  <si>
    <t>Bleed volume (mL) &amp; %:</t>
  </si>
  <si>
    <t>Transfusion volume (mL):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</si>
  <si>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</si>
  <si>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</si>
  <si>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</si>
  <si>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</si>
  <si>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</si>
  <si>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</si>
  <si>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</si>
  <si>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</si>
  <si>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</si>
  <si>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</si>
  <si>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</si>
  <si>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</si>
  <si>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</si>
  <si>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</si>
  <si>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</si>
  <si>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</si>
  <si>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</si>
  <si>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</si>
  <si>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</si>
  <si>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</si>
  <si>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</si>
  <si>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</si>
  <si>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</si>
  <si>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</si>
  <si>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</si>
  <si>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</si>
  <si>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</si>
  <si>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</si>
  <si>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</si>
  <si>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</si>
  <si>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</si>
  <si>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</si>
  <si>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</si>
  <si>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</si>
  <si>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</si>
  <si>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</si>
  <si>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</si>
  <si>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</si>
  <si>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</si>
  <si>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</si>
  <si>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</si>
  <si>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</si>
  <si>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</si>
  <si>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</si>
  <si>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</si>
  <si>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</si>
  <si>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</si>
  <si>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</si>
  <si>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</si>
  <si>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</si>
  <si>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</si>
  <si>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</si>
  <si>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</si>
  <si>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</si>
  <si>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</si>
  <si>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</si>
  <si>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</si>
  <si>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</si>
  <si>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</si>
  <si>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</si>
  <si>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</si>
  <si>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</si>
  <si>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</si>
  <si>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</si>
  <si>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</si>
  <si>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</si>
  <si>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</si>
  <si>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</si>
  <si>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</si>
  <si>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</si>
  <si>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</si>
  <si>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</si>
  <si>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</si>
  <si>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</si>
  <si>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</si>
  <si>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</si>
  <si>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</si>
  <si>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</si>
  <si>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</si>
  <si>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</si>
  <si>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</si>
  <si>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</si>
  <si>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</si>
  <si>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</si>
  <si>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</si>
  <si>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</si>
  <si>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EOD</t>
  </si>
  <si>
    <t>1HR</t>
  </si>
  <si>
    <t>3HR</t>
  </si>
  <si>
    <t>6HR</t>
  </si>
  <si>
    <t>24HR</t>
  </si>
  <si>
    <t>48HR</t>
  </si>
  <si>
    <t>72HR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</si>
</sst>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sz val="10"/>
      <color rgb="FF00000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2D5"/>
        <bgColor rgb="FF000000"/>
      </patternFill>
    </fill>
    <fill>
      <patternFill patternType="solid">
        <fgColor rgb="FFC0E4F5"/>
        <bgColor rgb="FFD9E2F3"/>
      </patternFill>
    </fill>
    <fill>
      <patternFill patternType="solid">
        <fgColor rgb="FFC0E4F5"/>
        <bgColor rgb="FF000000"/>
      </patternFill>
    </fill>
    <fill>
      <patternFill patternType="solid">
        <fgColor rgb="FFD9E2F3"/>
        <bgColor rgb="FFD9E2F3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2" xfId="0" applyFont="1" applyBorder="1"/>
    <xf numFmtId="0" fontId="2" fillId="0" borderId="0" xfId="0" applyFo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2" borderId="4" xfId="1" applyFont="1" applyFill="1" applyBorder="1" applyAlignment="1">
      <alignment horizontal="center"/>
    </xf>
    <xf numFmtId="0" fontId="5" fillId="2" borderId="16" xfId="1" applyFont="1" applyFill="1" applyBorder="1" applyAlignment="1">
      <alignment horizontal="center"/>
    </xf>
    <xf numFmtId="14" fontId="5" fillId="2" borderId="4" xfId="1" applyNumberFormat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wrapText="1"/>
    </xf>
    <xf numFmtId="0" fontId="5" fillId="2" borderId="16" xfId="1" applyFont="1" applyFill="1" applyBorder="1" applyAlignment="1">
      <alignment horizontal="center" wrapText="1"/>
    </xf>
    <xf numFmtId="18" fontId="14" fillId="0" borderId="0" xfId="0" applyNumberFormat="1" applyFont="1" applyAlignment="1">
      <alignment horizontal="right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 3" xfId="1" xr:uid="{1A3F5A80-39D1-4BF6-9F0C-9FD45FB14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15C7-5A91-4593-9DE4-E17BB2548DE9}">
  <dimension ref="A1:AZ28"/>
  <sheetViews>
    <sheetView tabSelected="1" topLeftCell="H1" workbookViewId="0">
      <selection activeCell="S6" sqref="S6"/>
    </sheetView>
  </sheetViews>
  <sheetFormatPr defaultRowHeight="14.4"/>
  <cols>
    <col min="2" max="2" width="10.44140625" customWidth="1"/>
    <col min="10" max="10" width="21.77734375" bestFit="1" customWidth="1"/>
    <col min="14" max="14" width="22.33203125" bestFit="1" customWidth="1"/>
    <col min="17" max="17" width="10.5546875" bestFit="1" customWidth="1"/>
  </cols>
  <sheetData>
    <row r="1" spans="1:52" ht="25.8">
      <c r="A1" s="30" t="s">
        <v>0</v>
      </c>
      <c r="B1" s="31"/>
      <c r="C1" s="31"/>
      <c r="D1" s="31"/>
      <c r="E1" s="31"/>
      <c r="F1" s="32"/>
      <c r="G1" s="30" t="s">
        <v>1</v>
      </c>
      <c r="H1" s="31"/>
      <c r="I1" s="31"/>
      <c r="J1" s="31"/>
      <c r="K1" s="31"/>
      <c r="L1" s="31"/>
      <c r="M1" s="31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33"/>
      <c r="B2" s="34"/>
      <c r="C2" s="34"/>
      <c r="D2" s="34"/>
      <c r="E2" s="34"/>
      <c r="F2" s="35"/>
      <c r="G2" s="33"/>
      <c r="H2" s="34"/>
      <c r="I2" s="34"/>
      <c r="J2" s="34"/>
      <c r="K2" s="34"/>
      <c r="L2" s="34"/>
      <c r="M2" s="34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8.8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/>
      <c r="O3" s="5" t="s">
        <v>2</v>
      </c>
      <c r="P3" s="5" t="s">
        <v>4</v>
      </c>
      <c r="Q3" s="36"/>
      <c r="R3" s="36"/>
      <c r="S3" s="39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</row>
    <row r="4" spans="1:52" ht="15" thickBot="1">
      <c r="A4" s="36"/>
      <c r="B4" s="38"/>
      <c r="C4" s="38"/>
      <c r="D4" s="37"/>
      <c r="E4" s="37"/>
      <c r="F4" s="38"/>
      <c r="G4" s="38"/>
      <c r="H4" s="37"/>
      <c r="I4" s="37"/>
      <c r="J4" s="37"/>
      <c r="K4" s="38"/>
      <c r="L4" s="38"/>
      <c r="M4" s="37"/>
      <c r="N4" s="39"/>
      <c r="O4" s="5" t="s">
        <v>3</v>
      </c>
      <c r="P4" s="5" t="s">
        <v>5</v>
      </c>
      <c r="Q4" s="36"/>
      <c r="R4" s="36"/>
      <c r="S4" s="39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</row>
    <row r="5" spans="1:52" ht="26.4" thickBot="1">
      <c r="A5" s="6" t="s">
        <v>6</v>
      </c>
      <c r="B5" s="40" t="s">
        <v>7</v>
      </c>
      <c r="C5" s="41"/>
      <c r="D5" s="7"/>
      <c r="E5" s="6" t="s">
        <v>8</v>
      </c>
      <c r="F5" s="50">
        <f ca="1">ROUND(RAND(),0)</f>
        <v>0</v>
      </c>
      <c r="G5" s="51"/>
      <c r="H5" s="1"/>
      <c r="I5" s="1"/>
      <c r="J5" s="8" t="s">
        <v>9</v>
      </c>
      <c r="K5" s="42">
        <f ca="1">ROUND(RAND(),2)</f>
        <v>0.6</v>
      </c>
      <c r="L5" s="43"/>
      <c r="M5" s="1"/>
      <c r="N5" s="6" t="s">
        <v>10</v>
      </c>
      <c r="O5" s="9">
        <f ca="1">ROUND(RAND(),2)</f>
        <v>0.82</v>
      </c>
      <c r="P5" s="42">
        <f ca="1">RANDBETWEEN(2,6)</f>
        <v>2</v>
      </c>
      <c r="Q5" s="43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6" t="s">
        <v>11</v>
      </c>
      <c r="B6" s="47" t="str" cm="1">
        <f t="array" aca="1" ref="B6" ca="1">_xlfn.CONCAT(ROUND(_xlfn.RANDARRAY(1,1,1,3,FALSE),2)," ","kg")</f>
        <v>1.51 kg</v>
      </c>
      <c r="C6" s="48"/>
      <c r="D6" s="7"/>
      <c r="E6" s="6" t="s">
        <v>12</v>
      </c>
      <c r="F6" s="47" t="str">
        <f ca="1">IF(F5=1,"Reason"," ")</f>
        <v xml:space="preserve"> </v>
      </c>
      <c r="G6" s="48"/>
      <c r="H6" s="1"/>
      <c r="I6" s="1"/>
      <c r="J6" s="8" t="s">
        <v>13</v>
      </c>
      <c r="K6" s="42">
        <f ca="1">ROUND(RANDBETWEEN(2,12),2)</f>
        <v>11</v>
      </c>
      <c r="L6" s="43"/>
      <c r="M6" s="1"/>
      <c r="N6" s="6" t="s">
        <v>14</v>
      </c>
      <c r="O6" s="9">
        <f ca="1">O5</f>
        <v>0.82</v>
      </c>
      <c r="P6" s="42">
        <f ca="1">RANDBETWEEN(2,6)</f>
        <v>2</v>
      </c>
      <c r="Q6" s="43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6" t="s">
        <v>15</v>
      </c>
      <c r="B7" s="49">
        <f ca="1">RANDBETWEEN(DATE(2024,1,1), DATE(2026,12,31))</f>
        <v>46037</v>
      </c>
      <c r="C7" s="48"/>
      <c r="D7" s="7"/>
      <c r="E7" s="7"/>
      <c r="F7" s="1"/>
      <c r="G7" s="1"/>
      <c r="H7" s="1"/>
      <c r="I7" s="1"/>
      <c r="J7" s="4"/>
      <c r="K7" s="4"/>
      <c r="L7" s="4"/>
      <c r="M7" s="1"/>
      <c r="N7" s="6" t="s">
        <v>16</v>
      </c>
      <c r="O7" s="9">
        <f ca="1">ROUND(RAND(),2)</f>
        <v>0.99</v>
      </c>
      <c r="P7" s="42">
        <f ca="1">RANDBETWEEN(2,6)</f>
        <v>5</v>
      </c>
      <c r="Q7" s="43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5.8">
      <c r="A8" s="6" t="s">
        <v>17</v>
      </c>
      <c r="B8" s="10">
        <f ca="1">RANDBETWEEN(25,55)</f>
        <v>50</v>
      </c>
      <c r="C8" s="11">
        <f ca="1">RANDBETWEEN(25,55)</f>
        <v>26</v>
      </c>
      <c r="D8" s="7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26.4" thickBot="1">
      <c r="A9" s="6" t="s">
        <v>18</v>
      </c>
      <c r="B9" s="12">
        <f ca="1">RANDBETWEEN(25,55)</f>
        <v>30</v>
      </c>
      <c r="C9" s="13">
        <v>42</v>
      </c>
      <c r="D9" s="7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4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6"/>
      <c r="R10" s="16"/>
      <c r="S10" s="16"/>
      <c r="T10" s="16"/>
      <c r="U10" s="16"/>
      <c r="V10" s="16"/>
      <c r="W10" s="4"/>
      <c r="X10" s="16"/>
      <c r="Y10" s="16"/>
      <c r="Z10" s="16"/>
      <c r="AA10" s="16"/>
      <c r="AB10" s="16"/>
      <c r="AC10" s="16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14"/>
      <c r="B11" s="14"/>
      <c r="C11" s="17"/>
      <c r="D11" s="18" t="s">
        <v>19</v>
      </c>
      <c r="E11" s="18" t="s">
        <v>19</v>
      </c>
      <c r="F11" s="18" t="s">
        <v>19</v>
      </c>
      <c r="G11" s="18" t="s">
        <v>19</v>
      </c>
      <c r="H11" s="18" t="s">
        <v>19</v>
      </c>
      <c r="I11" s="18" t="s">
        <v>19</v>
      </c>
      <c r="J11" s="18" t="s">
        <v>19</v>
      </c>
      <c r="K11" s="18" t="s">
        <v>19</v>
      </c>
      <c r="L11" s="18" t="s">
        <v>19</v>
      </c>
      <c r="M11" s="18" t="s">
        <v>19</v>
      </c>
      <c r="N11" s="18" t="s">
        <v>19</v>
      </c>
      <c r="O11" s="18" t="s">
        <v>19</v>
      </c>
      <c r="P11" s="18" t="s">
        <v>19</v>
      </c>
      <c r="Q11" s="18" t="s">
        <v>19</v>
      </c>
      <c r="R11" s="18" t="s">
        <v>19</v>
      </c>
      <c r="S11" s="18" t="s">
        <v>19</v>
      </c>
      <c r="T11" s="18" t="s">
        <v>19</v>
      </c>
      <c r="U11" s="18" t="s">
        <v>19</v>
      </c>
      <c r="V11" s="18" t="s">
        <v>19</v>
      </c>
      <c r="W11" s="18" t="s">
        <v>19</v>
      </c>
      <c r="X11" s="18" t="s">
        <v>19</v>
      </c>
      <c r="Y11" s="18" t="s">
        <v>19</v>
      </c>
      <c r="Z11" s="18" t="s">
        <v>19</v>
      </c>
      <c r="AA11" s="18" t="s">
        <v>19</v>
      </c>
      <c r="AB11" s="18" t="s">
        <v>19</v>
      </c>
      <c r="AC11" s="18" t="s">
        <v>19</v>
      </c>
      <c r="AD11" s="18" t="s">
        <v>19</v>
      </c>
      <c r="AE11" s="18" t="s">
        <v>19</v>
      </c>
      <c r="AF11" s="18" t="s">
        <v>19</v>
      </c>
      <c r="AG11" s="18" t="s">
        <v>19</v>
      </c>
      <c r="AH11" s="18" t="s">
        <v>19</v>
      </c>
      <c r="AI11" s="18" t="s">
        <v>19</v>
      </c>
      <c r="AJ11" s="18" t="s">
        <v>19</v>
      </c>
      <c r="AK11" s="18" t="s">
        <v>19</v>
      </c>
      <c r="AL11" s="18" t="s">
        <v>19</v>
      </c>
      <c r="AM11" s="18" t="s">
        <v>19</v>
      </c>
      <c r="AN11" s="18" t="s">
        <v>19</v>
      </c>
      <c r="AO11" s="18" t="s">
        <v>19</v>
      </c>
      <c r="AP11" s="18" t="s">
        <v>19</v>
      </c>
      <c r="AQ11" s="18" t="s">
        <v>19</v>
      </c>
      <c r="AR11" s="18" t="s">
        <v>19</v>
      </c>
      <c r="AS11" s="18" t="s">
        <v>19</v>
      </c>
      <c r="AT11" s="18" t="s">
        <v>19</v>
      </c>
      <c r="AU11" s="18" t="s">
        <v>19</v>
      </c>
      <c r="AV11" s="18" t="s">
        <v>19</v>
      </c>
      <c r="AW11" s="18" t="s">
        <v>19</v>
      </c>
      <c r="AX11" s="18" t="s">
        <v>19</v>
      </c>
      <c r="AY11" s="18" t="s">
        <v>19</v>
      </c>
      <c r="AZ11" s="18" t="s">
        <v>19</v>
      </c>
    </row>
    <row r="12" spans="1:52" ht="14.4" customHeight="1">
      <c r="A12" s="14"/>
      <c r="B12" s="14"/>
      <c r="C12" s="17" t="s">
        <v>20</v>
      </c>
      <c r="D12" s="17" t="s">
        <v>21</v>
      </c>
      <c r="E12" s="17" t="s">
        <v>22</v>
      </c>
      <c r="F12" s="17" t="s">
        <v>23</v>
      </c>
      <c r="G12" s="44" t="s">
        <v>24</v>
      </c>
      <c r="H12" s="44"/>
      <c r="I12" s="44"/>
      <c r="J12" s="44"/>
      <c r="K12" s="44"/>
      <c r="L12" s="19" t="s">
        <v>25</v>
      </c>
      <c r="M12" s="19" t="s">
        <v>26</v>
      </c>
      <c r="N12" s="45" t="s">
        <v>27</v>
      </c>
      <c r="O12" s="45"/>
      <c r="P12" s="45"/>
      <c r="Q12" s="45"/>
      <c r="R12" s="46" t="s">
        <v>28</v>
      </c>
      <c r="S12" s="46"/>
      <c r="T12" s="46"/>
      <c r="U12" s="46"/>
      <c r="V12" s="46"/>
      <c r="W12" s="46"/>
      <c r="X12" s="46"/>
      <c r="Y12" s="46"/>
      <c r="Z12" s="46"/>
      <c r="AA12" s="44" t="s">
        <v>29</v>
      </c>
      <c r="AB12" s="44"/>
      <c r="AC12" s="44"/>
      <c r="AD12" s="44"/>
      <c r="AE12" s="44" t="s">
        <v>30</v>
      </c>
      <c r="AF12" s="44"/>
      <c r="AG12" s="44"/>
      <c r="AH12" s="44"/>
      <c r="AI12" s="45" t="s">
        <v>31</v>
      </c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 t="s">
        <v>32</v>
      </c>
      <c r="AZ12" s="45"/>
    </row>
    <row r="13" spans="1:52" ht="15.6">
      <c r="A13" s="19"/>
      <c r="B13" s="19"/>
      <c r="C13" s="19" t="s">
        <v>33</v>
      </c>
      <c r="D13" s="20" t="s">
        <v>34</v>
      </c>
      <c r="E13" s="20" t="s">
        <v>35</v>
      </c>
      <c r="F13" s="21" t="s">
        <v>36</v>
      </c>
      <c r="G13" s="20" t="s">
        <v>37</v>
      </c>
      <c r="H13" s="20" t="s">
        <v>38</v>
      </c>
      <c r="I13" s="20" t="s">
        <v>34</v>
      </c>
      <c r="J13" s="20" t="s">
        <v>39</v>
      </c>
      <c r="K13" s="20" t="s">
        <v>39</v>
      </c>
      <c r="L13" s="20" t="s">
        <v>40</v>
      </c>
      <c r="M13" s="20" t="s">
        <v>41</v>
      </c>
      <c r="N13" s="20" t="s">
        <v>42</v>
      </c>
      <c r="O13" s="20" t="s">
        <v>43</v>
      </c>
      <c r="P13" s="20" t="s">
        <v>34</v>
      </c>
      <c r="Q13" s="20" t="s">
        <v>34</v>
      </c>
      <c r="R13" s="20" t="s">
        <v>44</v>
      </c>
      <c r="S13" s="20" t="s">
        <v>44</v>
      </c>
      <c r="T13" s="20" t="s">
        <v>44</v>
      </c>
      <c r="U13" s="20" t="s">
        <v>45</v>
      </c>
      <c r="V13" s="20" t="s">
        <v>45</v>
      </c>
      <c r="W13" s="20" t="s">
        <v>44</v>
      </c>
      <c r="X13" s="20" t="s">
        <v>45</v>
      </c>
      <c r="Y13" s="20" t="s">
        <v>45</v>
      </c>
      <c r="Z13" s="20" t="s">
        <v>44</v>
      </c>
      <c r="AA13" s="20" t="s">
        <v>46</v>
      </c>
      <c r="AB13" s="20" t="s">
        <v>46</v>
      </c>
      <c r="AC13" s="20" t="s">
        <v>47</v>
      </c>
      <c r="AD13" s="20" t="s">
        <v>48</v>
      </c>
      <c r="AE13" s="20" t="s">
        <v>49</v>
      </c>
      <c r="AF13" s="20" t="s">
        <v>49</v>
      </c>
      <c r="AG13" s="20" t="s">
        <v>49</v>
      </c>
      <c r="AH13" s="20" t="s">
        <v>50</v>
      </c>
      <c r="AI13" s="16" t="s">
        <v>51</v>
      </c>
      <c r="AJ13" s="16" t="s">
        <v>51</v>
      </c>
      <c r="AK13" s="16" t="s">
        <v>51</v>
      </c>
      <c r="AL13" s="16" t="s">
        <v>51</v>
      </c>
      <c r="AM13" s="16" t="s">
        <v>51</v>
      </c>
      <c r="AN13" s="16" t="s">
        <v>51</v>
      </c>
      <c r="AO13" s="16" t="s">
        <v>51</v>
      </c>
      <c r="AP13" s="16" t="s">
        <v>51</v>
      </c>
      <c r="AQ13" s="16" t="s">
        <v>51</v>
      </c>
      <c r="AR13" s="16" t="s">
        <v>51</v>
      </c>
      <c r="AS13" s="16" t="s">
        <v>51</v>
      </c>
      <c r="AT13" s="16" t="s">
        <v>51</v>
      </c>
      <c r="AU13" s="16" t="s">
        <v>51</v>
      </c>
      <c r="AV13" s="16" t="s">
        <v>51</v>
      </c>
      <c r="AW13" s="16" t="s">
        <v>51</v>
      </c>
      <c r="AX13" s="16" t="s">
        <v>51</v>
      </c>
      <c r="AY13" s="20" t="s">
        <v>51</v>
      </c>
      <c r="AZ13" s="20" t="s">
        <v>51</v>
      </c>
    </row>
    <row r="14" spans="1:52" ht="15" thickBot="1">
      <c r="A14" s="22" t="s">
        <v>52</v>
      </c>
      <c r="B14" s="22" t="s">
        <v>53</v>
      </c>
      <c r="C14" s="22" t="s">
        <v>54</v>
      </c>
      <c r="D14" s="22" t="s">
        <v>21</v>
      </c>
      <c r="E14" s="22" t="s">
        <v>35</v>
      </c>
      <c r="F14" s="22" t="s">
        <v>55</v>
      </c>
      <c r="G14" s="22" t="s">
        <v>56</v>
      </c>
      <c r="H14" s="22" t="s">
        <v>57</v>
      </c>
      <c r="I14" s="23" t="s">
        <v>58</v>
      </c>
      <c r="J14" s="23" t="s">
        <v>59</v>
      </c>
      <c r="K14" s="23" t="s">
        <v>60</v>
      </c>
      <c r="L14" s="23" t="s">
        <v>61</v>
      </c>
      <c r="M14" s="23" t="s">
        <v>26</v>
      </c>
      <c r="N14" s="23" t="s">
        <v>62</v>
      </c>
      <c r="O14" s="23" t="s">
        <v>63</v>
      </c>
      <c r="P14" s="23" t="s">
        <v>64</v>
      </c>
      <c r="Q14" s="23" t="s">
        <v>65</v>
      </c>
      <c r="R14" s="24" t="s">
        <v>66</v>
      </c>
      <c r="S14" s="25" t="s">
        <v>67</v>
      </c>
      <c r="T14" s="25" t="s">
        <v>68</v>
      </c>
      <c r="U14" s="25" t="s">
        <v>69</v>
      </c>
      <c r="V14" s="25" t="s">
        <v>70</v>
      </c>
      <c r="W14" s="25" t="s">
        <v>71</v>
      </c>
      <c r="X14" s="25" t="s">
        <v>72</v>
      </c>
      <c r="Y14" s="25" t="s">
        <v>73</v>
      </c>
      <c r="Z14" s="25" t="s">
        <v>74</v>
      </c>
      <c r="AA14" s="25" t="s">
        <v>75</v>
      </c>
      <c r="AB14" s="25" t="s">
        <v>76</v>
      </c>
      <c r="AC14" s="25" t="s">
        <v>77</v>
      </c>
      <c r="AD14" s="25" t="s">
        <v>78</v>
      </c>
      <c r="AE14" s="25" t="s">
        <v>79</v>
      </c>
      <c r="AF14" s="24" t="s">
        <v>80</v>
      </c>
      <c r="AG14" s="24" t="s">
        <v>81</v>
      </c>
      <c r="AH14" s="24" t="s">
        <v>82</v>
      </c>
      <c r="AI14" s="26" t="s">
        <v>83</v>
      </c>
      <c r="AJ14" s="26" t="s">
        <v>84</v>
      </c>
      <c r="AK14" s="26" t="s">
        <v>85</v>
      </c>
      <c r="AL14" s="26" t="s">
        <v>86</v>
      </c>
      <c r="AM14" s="26" t="s">
        <v>87</v>
      </c>
      <c r="AN14" s="26" t="s">
        <v>88</v>
      </c>
      <c r="AO14" s="26" t="s">
        <v>89</v>
      </c>
      <c r="AP14" s="26" t="s">
        <v>90</v>
      </c>
      <c r="AQ14" s="26" t="s">
        <v>91</v>
      </c>
      <c r="AR14" s="26" t="s">
        <v>92</v>
      </c>
      <c r="AS14" s="26" t="s">
        <v>93</v>
      </c>
      <c r="AT14" s="26" t="s">
        <v>94</v>
      </c>
      <c r="AU14" s="26" t="s">
        <v>95</v>
      </c>
      <c r="AV14" s="26" t="s">
        <v>96</v>
      </c>
      <c r="AW14" s="26" t="s">
        <v>97</v>
      </c>
      <c r="AX14" s="26" t="s">
        <v>98</v>
      </c>
      <c r="AY14" s="24" t="s">
        <v>99</v>
      </c>
      <c r="AZ14" s="24" t="s">
        <v>100</v>
      </c>
    </row>
    <row r="15" spans="1:52">
      <c r="A15" s="27" t="s">
        <v>101</v>
      </c>
      <c r="B15" s="52">
        <f t="shared" ref="B15:B24" ca="1" si="0">TIME(RANDBETWEEN(0,23), RANDBETWEEN(0,59), RANDBETWEEN(0,59))</f>
        <v>0.94290509259259259</v>
      </c>
      <c r="C15" s="19" t="s">
        <v>102</v>
      </c>
      <c r="D15" s="53">
        <f ca="1">RANDBETWEEN(50,90)</f>
        <v>89</v>
      </c>
      <c r="E15" s="53" cm="1">
        <f t="array" aca="1" ref="E15:E24" ca="1">_xlfn.RANDARRAY(10,1,180,240,TRUE)</f>
        <v>213</v>
      </c>
      <c r="F15" s="53" cm="1">
        <f t="array" aca="1" ref="F15:F24" ca="1">_xlfn.RANDARRAY(10,1,35,45,TRUE)</f>
        <v>42</v>
      </c>
      <c r="G15" s="54" cm="1">
        <f t="array" aca="1" ref="G15:G24" ca="1">ROUND(_xlfn.RANDARRAY(10,1,2,10,FALSE),2)</f>
        <v>6.34</v>
      </c>
      <c r="H15" s="55" cm="1">
        <f t="array" aca="1" ref="H15:H24" ca="1">ROUND(_xlfn.RANDARRAY(10,1,2,10,FALSE),2)</f>
        <v>2.4</v>
      </c>
      <c r="I15" s="54" cm="1">
        <f t="array" aca="1" ref="I15:I24" ca="1">ROUND(_xlfn.RANDARRAY(10,1,15,39,FALSE),2)</f>
        <v>37.380000000000003</v>
      </c>
      <c r="J15" s="54" cm="1">
        <f t="array" aca="1" ref="J15:J24" ca="1">ROUND(_xlfn.RANDARRAY(10,1,140,360,TRUE),2)</f>
        <v>278</v>
      </c>
      <c r="K15" s="54" cm="1">
        <f t="array" aca="1" ref="K15:K24" ca="1">ROUND(_xlfn.RANDARRAY(10,1,1,10,FALSE),2)</f>
        <v>6.54</v>
      </c>
      <c r="L15" s="54" cm="1">
        <f t="array" aca="1" ref="L15:L24" ca="1">ROUND(_xlfn.RANDARRAY(10,1,1,100,FALSE),2)</f>
        <v>67.17</v>
      </c>
      <c r="M15" s="56">
        <f t="shared" ref="M15:M24" ca="1" si="1">L15/(64.5*H15)</f>
        <v>0.43391472868217063</v>
      </c>
      <c r="N15" s="55" cm="1">
        <f t="array" aca="1" ref="N15:N24" ca="1">ROUND(_xlfn.RANDARRAY(10,1,0,10,FALSE),2)</f>
        <v>7.26</v>
      </c>
      <c r="O15" s="57" cm="1">
        <f t="array" aca="1" ref="O15:O24" ca="1">ROUND(_xlfn.RANDARRAY(10,1,2,14,FALSE),2)</f>
        <v>7.15</v>
      </c>
      <c r="P15" s="57" cm="1">
        <f t="array" aca="1" ref="P15:P24" ca="1">ROUND(_xlfn.RANDARRAY(10,1,30,38,FALSE),2)</f>
        <v>33.03</v>
      </c>
      <c r="Q15" s="57" cm="1">
        <f t="array" aca="1" ref="Q15:Q24" ca="1">ROUND(_xlfn.RANDARRAY(10,1,80,91,FALSE),2)</f>
        <v>84.08</v>
      </c>
      <c r="R15" s="58" cm="1">
        <f t="array" aca="1" ref="R15:R24" ca="1">ROUND(_xlfn.RANDARRAY(10,1,50,160,FALSE),2)</f>
        <v>142.79</v>
      </c>
      <c r="S15" s="58" cm="1">
        <f t="array" aca="1" ref="S15:S24" ca="1">ROUND(_xlfn.RANDARRAY(10,1,50,250,FALSE),0)</f>
        <v>238</v>
      </c>
      <c r="T15" s="58" cm="1">
        <f t="array" aca="1" ref="T15:T24" ca="1">ROUND(_xlfn.RANDARRAY(10,1,80,260,FALSE),0)</f>
        <v>162</v>
      </c>
      <c r="U15" s="58" cm="1">
        <f t="array" aca="1" ref="U15:U24" ca="1">ROUND(_xlfn.RANDARRAY(10,1,1,2,FALSE),2)</f>
        <v>1.9</v>
      </c>
      <c r="V15" s="58" cm="1">
        <f t="array" aca="1" ref="V15:V24" ca="1">ROUND(_xlfn.RANDARRAY(10,1,10,30,FALSE),2)</f>
        <v>14.69</v>
      </c>
      <c r="W15" s="58" cm="1">
        <f t="array" aca="1" ref="W15:W24" ca="1">ROUND(_xlfn.RANDARRAY(10,1,150,320,FALSE),0)</f>
        <v>233</v>
      </c>
      <c r="X15" s="58" cm="1">
        <f t="array" aca="1" ref="X15:X24" ca="1">ROUND(_xlfn.RANDARRAY(10,1,50,150,FALSE),2)</f>
        <v>117.06</v>
      </c>
      <c r="Y15" s="58" cm="1">
        <f t="array" aca="1" ref="Y15:Y24" ca="1">ROUND(_xlfn.RANDARRAY(10,1,120,600,FALSE),2)</f>
        <v>281.22000000000003</v>
      </c>
      <c r="Z15" s="58" cm="1">
        <f t="array" aca="1" ref="Z15:Z24" ca="1">ROUND(_xlfn.RANDARRAY(10,1,1,4,FALSE),0)</f>
        <v>3</v>
      </c>
      <c r="AA15" s="54" cm="1">
        <f t="array" aca="1" ref="AA15:AA24" ca="1">ROUND(_xlfn.RANDARRAY(10,1,2,8,FALSE),2)</f>
        <v>3.99</v>
      </c>
      <c r="AB15" s="54" cm="1">
        <f t="array" aca="1" ref="AB15:AB24" ca="1">ROUND(_xlfn.RANDARRAY(10,1,1,3,FALSE),2)</f>
        <v>1.47</v>
      </c>
      <c r="AC15" s="54" cm="1">
        <f t="array" aca="1" ref="AC15:AC24" ca="1">ROUND(_xlfn.RANDARRAY(10,1,55,78,FALSE),2)</f>
        <v>60.87</v>
      </c>
      <c r="AD15" s="54" cm="1">
        <f t="array" aca="1" ref="AD15:AD24" ca="1">ROUND(_xlfn.RANDARRAY(10,1,51,69,FALSE),2)</f>
        <v>54.7</v>
      </c>
      <c r="AE15" s="54"/>
      <c r="AF15" s="54" cm="1">
        <f t="array" aca="1" ref="AF15:AF24" ca="1">ROUND(_xlfn.RANDARRAY(10,1,5,75,FALSE),2)</f>
        <v>60.23</v>
      </c>
      <c r="AG15" s="16"/>
      <c r="AH15" s="16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19" t="s">
        <v>103</v>
      </c>
      <c r="B16" s="52">
        <f t="shared" ca="1" si="0"/>
        <v>0.14636574074074074</v>
      </c>
      <c r="C16" s="19" t="s">
        <v>102</v>
      </c>
      <c r="D16" s="53">
        <f t="shared" ref="D16:D24" ca="1" si="2">RANDBETWEEN(50,90)</f>
        <v>80</v>
      </c>
      <c r="E16" s="19">
        <f ca="1"/>
        <v>238</v>
      </c>
      <c r="F16" s="19">
        <f ca="1"/>
        <v>42</v>
      </c>
      <c r="G16" s="20">
        <f ca="1"/>
        <v>4.42</v>
      </c>
      <c r="H16" s="20">
        <f ca="1"/>
        <v>4.13</v>
      </c>
      <c r="I16" s="20">
        <f ca="1"/>
        <v>28.23</v>
      </c>
      <c r="J16" s="16">
        <f ca="1"/>
        <v>278</v>
      </c>
      <c r="K16" s="20">
        <f ca="1"/>
        <v>9.31</v>
      </c>
      <c r="L16" s="20">
        <f ca="1"/>
        <v>26.7</v>
      </c>
      <c r="M16" s="56">
        <f t="shared" ca="1" si="1"/>
        <v>0.10023086885522833</v>
      </c>
      <c r="N16" s="28">
        <f ca="1"/>
        <v>8.2200000000000006</v>
      </c>
      <c r="O16" s="28">
        <f ca="1"/>
        <v>12.8</v>
      </c>
      <c r="P16" s="28">
        <f ca="1"/>
        <v>36.89</v>
      </c>
      <c r="Q16" s="28">
        <f ca="1"/>
        <v>88.67</v>
      </c>
      <c r="R16" s="20">
        <f ca="1"/>
        <v>154.71</v>
      </c>
      <c r="S16" s="20">
        <f ca="1"/>
        <v>55</v>
      </c>
      <c r="T16" s="20">
        <f ca="1"/>
        <v>183</v>
      </c>
      <c r="U16" s="20">
        <f ca="1"/>
        <v>1.26</v>
      </c>
      <c r="V16" s="20">
        <f ca="1"/>
        <v>17.55</v>
      </c>
      <c r="W16" s="20">
        <f ca="1"/>
        <v>283</v>
      </c>
      <c r="X16" s="20">
        <f ca="1"/>
        <v>94.91</v>
      </c>
      <c r="Y16" s="20">
        <f ca="1"/>
        <v>137.51</v>
      </c>
      <c r="Z16" s="20">
        <f ca="1"/>
        <v>2</v>
      </c>
      <c r="AA16" s="20">
        <f ca="1"/>
        <v>3.15</v>
      </c>
      <c r="AB16" s="4">
        <f ca="1"/>
        <v>2.2200000000000002</v>
      </c>
      <c r="AC16" s="4">
        <f ca="1"/>
        <v>75.12</v>
      </c>
      <c r="AD16" s="4">
        <f ca="1"/>
        <v>60.24</v>
      </c>
      <c r="AE16" s="4"/>
      <c r="AF16" s="16">
        <f ca="1"/>
        <v>68.64</v>
      </c>
      <c r="AG16" s="16"/>
      <c r="AH16" s="16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19" t="s">
        <v>104</v>
      </c>
      <c r="B17" s="52">
        <f t="shared" ca="1" si="0"/>
        <v>0.53328703703703706</v>
      </c>
      <c r="C17" s="19" t="s">
        <v>102</v>
      </c>
      <c r="D17" s="53">
        <f t="shared" ca="1" si="2"/>
        <v>63</v>
      </c>
      <c r="E17" s="19">
        <f ca="1"/>
        <v>200</v>
      </c>
      <c r="F17" s="19">
        <f ca="1"/>
        <v>45</v>
      </c>
      <c r="G17" s="20">
        <f ca="1"/>
        <v>5.85</v>
      </c>
      <c r="H17" s="20">
        <f ca="1"/>
        <v>8.6199999999999992</v>
      </c>
      <c r="I17" s="20">
        <f ca="1"/>
        <v>29.66</v>
      </c>
      <c r="J17" s="16">
        <f ca="1"/>
        <v>169</v>
      </c>
      <c r="K17" s="20">
        <f ca="1"/>
        <v>4.6900000000000004</v>
      </c>
      <c r="L17" s="20">
        <f ca="1"/>
        <v>99.86</v>
      </c>
      <c r="M17" s="56">
        <f t="shared" ca="1" si="1"/>
        <v>0.17960754689832553</v>
      </c>
      <c r="N17" s="28">
        <f ca="1"/>
        <v>6.82</v>
      </c>
      <c r="O17" s="28">
        <f ca="1"/>
        <v>9.6199999999999992</v>
      </c>
      <c r="P17" s="28">
        <f ca="1"/>
        <v>34.380000000000003</v>
      </c>
      <c r="Q17" s="28">
        <f ca="1"/>
        <v>82.64</v>
      </c>
      <c r="R17" s="20">
        <f ca="1"/>
        <v>87.99</v>
      </c>
      <c r="S17" s="20">
        <f ca="1"/>
        <v>166</v>
      </c>
      <c r="T17" s="20">
        <f ca="1"/>
        <v>111</v>
      </c>
      <c r="U17" s="20">
        <f ca="1"/>
        <v>1.61</v>
      </c>
      <c r="V17" s="20">
        <f ca="1"/>
        <v>19.43</v>
      </c>
      <c r="W17" s="20">
        <f ca="1"/>
        <v>221</v>
      </c>
      <c r="X17" s="20">
        <f ca="1"/>
        <v>102.6</v>
      </c>
      <c r="Y17" s="20">
        <f ca="1"/>
        <v>385.33</v>
      </c>
      <c r="Z17" s="20">
        <f ca="1"/>
        <v>4</v>
      </c>
      <c r="AA17" s="20">
        <f ca="1"/>
        <v>5.0999999999999996</v>
      </c>
      <c r="AB17" s="4">
        <f ca="1"/>
        <v>1.76</v>
      </c>
      <c r="AC17" s="4">
        <f ca="1"/>
        <v>69.17</v>
      </c>
      <c r="AD17" s="4">
        <f ca="1"/>
        <v>56.75</v>
      </c>
      <c r="AE17" s="4"/>
      <c r="AF17" s="16">
        <f ca="1"/>
        <v>53.62</v>
      </c>
      <c r="AG17" s="16"/>
      <c r="AH17" s="16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19" t="s">
        <v>105</v>
      </c>
      <c r="B18" s="52">
        <f t="shared" ca="1" si="0"/>
        <v>0.15960648148148149</v>
      </c>
      <c r="C18" s="19" t="s">
        <v>102</v>
      </c>
      <c r="D18" s="53">
        <f t="shared" ca="1" si="2"/>
        <v>50</v>
      </c>
      <c r="E18" s="19">
        <f ca="1"/>
        <v>228</v>
      </c>
      <c r="F18" s="19">
        <f ca="1"/>
        <v>39</v>
      </c>
      <c r="G18" s="20">
        <f ca="1"/>
        <v>8.14</v>
      </c>
      <c r="H18" s="20">
        <f ca="1"/>
        <v>6.27</v>
      </c>
      <c r="I18" s="20">
        <f ca="1"/>
        <v>20</v>
      </c>
      <c r="J18" s="16">
        <f ca="1"/>
        <v>146</v>
      </c>
      <c r="K18" s="20">
        <f ca="1"/>
        <v>7.17</v>
      </c>
      <c r="L18" s="20">
        <f ca="1"/>
        <v>93.61</v>
      </c>
      <c r="M18" s="56">
        <f t="shared" ca="1" si="1"/>
        <v>0.23147014823881412</v>
      </c>
      <c r="N18" s="28">
        <f ca="1"/>
        <v>5.27</v>
      </c>
      <c r="O18" s="28">
        <f ca="1"/>
        <v>11.79</v>
      </c>
      <c r="P18" s="28">
        <f ca="1"/>
        <v>35.97</v>
      </c>
      <c r="Q18" s="28">
        <f ca="1"/>
        <v>84.67</v>
      </c>
      <c r="R18" s="20">
        <f ca="1"/>
        <v>101.71</v>
      </c>
      <c r="S18" s="20">
        <f ca="1"/>
        <v>76</v>
      </c>
      <c r="T18" s="20">
        <f ca="1"/>
        <v>98</v>
      </c>
      <c r="U18" s="20">
        <f ca="1"/>
        <v>1.03</v>
      </c>
      <c r="V18" s="20">
        <f ca="1"/>
        <v>12.75</v>
      </c>
      <c r="W18" s="20">
        <f ca="1"/>
        <v>234</v>
      </c>
      <c r="X18" s="20">
        <f ca="1"/>
        <v>89.97</v>
      </c>
      <c r="Y18" s="20">
        <f ca="1"/>
        <v>527.07000000000005</v>
      </c>
      <c r="Z18" s="20">
        <f ca="1"/>
        <v>1</v>
      </c>
      <c r="AA18" s="20">
        <f ca="1"/>
        <v>6.72</v>
      </c>
      <c r="AB18" s="4">
        <f ca="1"/>
        <v>1.33</v>
      </c>
      <c r="AC18" s="4">
        <f ca="1"/>
        <v>61.92</v>
      </c>
      <c r="AD18" s="4">
        <f ca="1"/>
        <v>52.7</v>
      </c>
      <c r="AE18" s="4"/>
      <c r="AF18" s="16">
        <f ca="1"/>
        <v>55.24</v>
      </c>
      <c r="AG18" s="16"/>
      <c r="AH18" s="16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19" t="s">
        <v>106</v>
      </c>
      <c r="B19" s="52">
        <f t="shared" ca="1" si="0"/>
        <v>0.56182870370370375</v>
      </c>
      <c r="C19" s="19" t="s">
        <v>102</v>
      </c>
      <c r="D19" s="53">
        <f t="shared" ca="1" si="2"/>
        <v>80</v>
      </c>
      <c r="E19" s="19">
        <f ca="1"/>
        <v>180</v>
      </c>
      <c r="F19" s="19">
        <f ca="1"/>
        <v>41</v>
      </c>
      <c r="G19" s="20">
        <f ca="1"/>
        <v>8.16</v>
      </c>
      <c r="H19" s="20">
        <f ca="1"/>
        <v>9.61</v>
      </c>
      <c r="I19" s="20">
        <f ca="1"/>
        <v>29.98</v>
      </c>
      <c r="J19" s="16">
        <f ca="1"/>
        <v>300</v>
      </c>
      <c r="K19" s="20">
        <f ca="1"/>
        <v>2.66</v>
      </c>
      <c r="L19" s="20">
        <f ca="1"/>
        <v>87.31</v>
      </c>
      <c r="M19" s="56">
        <f t="shared" ca="1" si="1"/>
        <v>0.14085779509393478</v>
      </c>
      <c r="N19" s="28">
        <f ca="1"/>
        <v>3.1</v>
      </c>
      <c r="O19" s="28">
        <f ca="1"/>
        <v>11.2</v>
      </c>
      <c r="P19" s="28">
        <f ca="1"/>
        <v>37.92</v>
      </c>
      <c r="Q19" s="28">
        <f ca="1"/>
        <v>81.69</v>
      </c>
      <c r="R19" s="20">
        <f ca="1"/>
        <v>80.12</v>
      </c>
      <c r="S19" s="20">
        <f ca="1"/>
        <v>166</v>
      </c>
      <c r="T19" s="20">
        <f ca="1"/>
        <v>223</v>
      </c>
      <c r="U19" s="20">
        <f ca="1"/>
        <v>1.94</v>
      </c>
      <c r="V19" s="20">
        <f ca="1"/>
        <v>29.65</v>
      </c>
      <c r="W19" s="20">
        <f ca="1"/>
        <v>287</v>
      </c>
      <c r="X19" s="20">
        <f ca="1"/>
        <v>75.13</v>
      </c>
      <c r="Y19" s="20">
        <f ca="1"/>
        <v>224.62</v>
      </c>
      <c r="Z19" s="20">
        <f ca="1"/>
        <v>3</v>
      </c>
      <c r="AA19" s="20">
        <f ca="1"/>
        <v>5.67</v>
      </c>
      <c r="AB19" s="4">
        <f ca="1"/>
        <v>2.58</v>
      </c>
      <c r="AC19" s="4">
        <f ca="1"/>
        <v>75.89</v>
      </c>
      <c r="AD19" s="20">
        <f ca="1"/>
        <v>55.48</v>
      </c>
      <c r="AE19" s="4"/>
      <c r="AF19" s="16">
        <f ca="1"/>
        <v>46.03</v>
      </c>
      <c r="AG19" s="16"/>
      <c r="AH19" s="16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19" t="s">
        <v>107</v>
      </c>
      <c r="B20" s="52">
        <f t="shared" ca="1" si="0"/>
        <v>4.1111111111111112E-2</v>
      </c>
      <c r="C20" s="19" t="s">
        <v>102</v>
      </c>
      <c r="D20" s="53">
        <f t="shared" ca="1" si="2"/>
        <v>68</v>
      </c>
      <c r="E20" s="19">
        <f ca="1"/>
        <v>237</v>
      </c>
      <c r="F20" s="19">
        <f ca="1"/>
        <v>36</v>
      </c>
      <c r="G20" s="20">
        <f ca="1"/>
        <v>7.39</v>
      </c>
      <c r="H20" s="20">
        <f ca="1"/>
        <v>7.49</v>
      </c>
      <c r="I20" s="20">
        <f ca="1"/>
        <v>19.600000000000001</v>
      </c>
      <c r="J20" s="20">
        <f ca="1"/>
        <v>345</v>
      </c>
      <c r="K20" s="20">
        <f ca="1"/>
        <v>8.51</v>
      </c>
      <c r="L20" s="20">
        <f ca="1"/>
        <v>96.95</v>
      </c>
      <c r="M20" s="56">
        <f t="shared" ca="1" si="1"/>
        <v>0.20068101137433891</v>
      </c>
      <c r="N20" s="28">
        <f ca="1"/>
        <v>9.41</v>
      </c>
      <c r="O20" s="28">
        <f ca="1"/>
        <v>12.87</v>
      </c>
      <c r="P20" s="28">
        <f ca="1"/>
        <v>30.61</v>
      </c>
      <c r="Q20" s="28">
        <f ca="1"/>
        <v>85.77</v>
      </c>
      <c r="R20" s="20">
        <f ca="1"/>
        <v>145.91999999999999</v>
      </c>
      <c r="S20" s="20">
        <f ca="1"/>
        <v>221</v>
      </c>
      <c r="T20" s="20">
        <f ca="1"/>
        <v>186</v>
      </c>
      <c r="U20" s="20">
        <f ca="1"/>
        <v>1.48</v>
      </c>
      <c r="V20" s="20">
        <f ca="1"/>
        <v>12.3</v>
      </c>
      <c r="W20" s="20">
        <f ca="1"/>
        <v>208</v>
      </c>
      <c r="X20" s="20">
        <f ca="1"/>
        <v>139.18</v>
      </c>
      <c r="Y20" s="20">
        <f ca="1"/>
        <v>556.33000000000004</v>
      </c>
      <c r="Z20" s="20">
        <f ca="1"/>
        <v>3</v>
      </c>
      <c r="AA20" s="20">
        <f ca="1"/>
        <v>3.6</v>
      </c>
      <c r="AB20" s="20">
        <f ca="1"/>
        <v>1.04</v>
      </c>
      <c r="AC20" s="20">
        <f ca="1"/>
        <v>76.09</v>
      </c>
      <c r="AD20" s="20">
        <f ca="1"/>
        <v>56.95</v>
      </c>
      <c r="AE20" s="20"/>
      <c r="AF20" s="16">
        <f ca="1"/>
        <v>56.29</v>
      </c>
      <c r="AG20" s="16"/>
      <c r="AH20" s="16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19" t="s">
        <v>108</v>
      </c>
      <c r="B21" s="52">
        <f t="shared" ca="1" si="0"/>
        <v>0.69447916666666665</v>
      </c>
      <c r="C21" s="19" t="s">
        <v>102</v>
      </c>
      <c r="D21" s="53">
        <f t="shared" ca="1" si="2"/>
        <v>55</v>
      </c>
      <c r="E21" s="19">
        <f ca="1"/>
        <v>235</v>
      </c>
      <c r="F21" s="19">
        <f ca="1"/>
        <v>42</v>
      </c>
      <c r="G21" s="20">
        <f ca="1"/>
        <v>4.24</v>
      </c>
      <c r="H21" s="20">
        <f ca="1"/>
        <v>2.68</v>
      </c>
      <c r="I21" s="20">
        <f ca="1"/>
        <v>30.64</v>
      </c>
      <c r="J21" s="20">
        <f ca="1"/>
        <v>186</v>
      </c>
      <c r="K21" s="20">
        <f ca="1"/>
        <v>2.87</v>
      </c>
      <c r="L21" s="20">
        <f ca="1"/>
        <v>55.06</v>
      </c>
      <c r="M21" s="56">
        <f t="shared" ca="1" si="1"/>
        <v>0.31852366076593774</v>
      </c>
      <c r="N21" s="28">
        <f ca="1"/>
        <v>4.5199999999999996</v>
      </c>
      <c r="O21" s="28">
        <f ca="1"/>
        <v>9.7799999999999994</v>
      </c>
      <c r="P21" s="28">
        <f ca="1"/>
        <v>35.270000000000003</v>
      </c>
      <c r="Q21" s="28">
        <f ca="1"/>
        <v>84.15</v>
      </c>
      <c r="R21" s="20">
        <f ca="1"/>
        <v>115.99</v>
      </c>
      <c r="S21" s="20">
        <f ca="1"/>
        <v>138</v>
      </c>
      <c r="T21" s="20">
        <f ca="1"/>
        <v>153</v>
      </c>
      <c r="U21" s="20">
        <f ca="1"/>
        <v>1.67</v>
      </c>
      <c r="V21" s="20">
        <f ca="1"/>
        <v>13.2</v>
      </c>
      <c r="W21" s="20">
        <f ca="1"/>
        <v>231</v>
      </c>
      <c r="X21" s="20">
        <f ca="1"/>
        <v>52.16</v>
      </c>
      <c r="Y21" s="20">
        <f ca="1"/>
        <v>362.13</v>
      </c>
      <c r="Z21" s="20">
        <f ca="1"/>
        <v>3</v>
      </c>
      <c r="AA21" s="20">
        <f ca="1"/>
        <v>5.59</v>
      </c>
      <c r="AB21" s="20">
        <f ca="1"/>
        <v>2.13</v>
      </c>
      <c r="AC21" s="20">
        <f ca="1"/>
        <v>55.86</v>
      </c>
      <c r="AD21" s="20">
        <f ca="1"/>
        <v>51.39</v>
      </c>
      <c r="AE21" s="20"/>
      <c r="AF21" s="16">
        <f ca="1"/>
        <v>62.37</v>
      </c>
      <c r="AG21" s="16"/>
      <c r="AH21" s="16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19" t="s">
        <v>109</v>
      </c>
      <c r="B22" s="52">
        <f t="shared" ca="1" si="0"/>
        <v>0.85230324074074071</v>
      </c>
      <c r="C22" s="19" t="s">
        <v>102</v>
      </c>
      <c r="D22" s="53">
        <f t="shared" ca="1" si="2"/>
        <v>68</v>
      </c>
      <c r="E22" s="19">
        <f ca="1"/>
        <v>194</v>
      </c>
      <c r="F22" s="19">
        <f ca="1"/>
        <v>41</v>
      </c>
      <c r="G22" s="20">
        <f ca="1"/>
        <v>3.44</v>
      </c>
      <c r="H22" s="20">
        <f ca="1"/>
        <v>4.8499999999999996</v>
      </c>
      <c r="I22" s="20">
        <f ca="1"/>
        <v>15.51</v>
      </c>
      <c r="J22" s="20">
        <f ca="1"/>
        <v>334</v>
      </c>
      <c r="K22" s="20">
        <f ca="1"/>
        <v>2.58</v>
      </c>
      <c r="L22" s="20">
        <f ca="1"/>
        <v>75.13</v>
      </c>
      <c r="M22" s="56">
        <f t="shared" ca="1" si="1"/>
        <v>0.24016622712379126</v>
      </c>
      <c r="N22" s="28">
        <f ca="1"/>
        <v>1.05</v>
      </c>
      <c r="O22" s="28">
        <f ca="1"/>
        <v>10.53</v>
      </c>
      <c r="P22" s="28">
        <f ca="1"/>
        <v>31.31</v>
      </c>
      <c r="Q22" s="28">
        <f ca="1"/>
        <v>85.42</v>
      </c>
      <c r="R22" s="20">
        <f ca="1"/>
        <v>105.98</v>
      </c>
      <c r="S22" s="20">
        <f ca="1"/>
        <v>84</v>
      </c>
      <c r="T22" s="20">
        <f ca="1"/>
        <v>84</v>
      </c>
      <c r="U22" s="20">
        <f ca="1"/>
        <v>1.06</v>
      </c>
      <c r="V22" s="20">
        <f ca="1"/>
        <v>20.72</v>
      </c>
      <c r="W22" s="20">
        <f ca="1"/>
        <v>294</v>
      </c>
      <c r="X22" s="20">
        <f ca="1"/>
        <v>64.349999999999994</v>
      </c>
      <c r="Y22" s="20">
        <f ca="1"/>
        <v>313.41000000000003</v>
      </c>
      <c r="Z22" s="20">
        <f ca="1"/>
        <v>3</v>
      </c>
      <c r="AA22" s="16">
        <f ca="1"/>
        <v>4.33</v>
      </c>
      <c r="AB22" s="16">
        <f ca="1"/>
        <v>2.2599999999999998</v>
      </c>
      <c r="AC22" s="16">
        <f ca="1"/>
        <v>58.06</v>
      </c>
      <c r="AD22" s="4">
        <f ca="1"/>
        <v>58.44</v>
      </c>
      <c r="AE22" s="16"/>
      <c r="AF22" s="16">
        <f ca="1"/>
        <v>54.08</v>
      </c>
      <c r="AG22" s="16"/>
      <c r="AH22" s="16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19" t="s">
        <v>110</v>
      </c>
      <c r="B23" s="52">
        <f t="shared" ca="1" si="0"/>
        <v>0.43528935185185186</v>
      </c>
      <c r="C23" s="29"/>
      <c r="D23" s="53">
        <f t="shared" ca="1" si="2"/>
        <v>82</v>
      </c>
      <c r="E23" s="29">
        <f ca="1"/>
        <v>183</v>
      </c>
      <c r="F23" s="29">
        <f ca="1"/>
        <v>36</v>
      </c>
      <c r="G23" s="59">
        <f ca="1"/>
        <v>9.58</v>
      </c>
      <c r="H23" s="16">
        <f ca="1"/>
        <v>3.78</v>
      </c>
      <c r="I23" s="16">
        <f ca="1"/>
        <v>29.41</v>
      </c>
      <c r="J23" s="16">
        <f ca="1"/>
        <v>261</v>
      </c>
      <c r="K23" s="16">
        <f ca="1"/>
        <v>2.39</v>
      </c>
      <c r="L23" s="16">
        <f ca="1"/>
        <v>37.14</v>
      </c>
      <c r="M23" s="56">
        <f t="shared" ca="1" si="1"/>
        <v>0.15233173372708259</v>
      </c>
      <c r="N23" s="16">
        <f ca="1"/>
        <v>0.12</v>
      </c>
      <c r="O23" s="16">
        <f ca="1"/>
        <v>5.98</v>
      </c>
      <c r="P23" s="16">
        <f ca="1"/>
        <v>35.090000000000003</v>
      </c>
      <c r="Q23" s="16">
        <f ca="1"/>
        <v>83.44</v>
      </c>
      <c r="R23" s="16">
        <f ca="1"/>
        <v>90.96</v>
      </c>
      <c r="S23" s="16">
        <f ca="1"/>
        <v>202</v>
      </c>
      <c r="T23" s="16">
        <f ca="1"/>
        <v>157</v>
      </c>
      <c r="U23" s="16">
        <f ca="1"/>
        <v>1.25</v>
      </c>
      <c r="V23" s="16">
        <f ca="1"/>
        <v>20.239999999999998</v>
      </c>
      <c r="W23" s="4">
        <f ca="1"/>
        <v>161</v>
      </c>
      <c r="X23" s="16">
        <f ca="1"/>
        <v>76.819999999999993</v>
      </c>
      <c r="Y23" s="16">
        <f ca="1"/>
        <v>579.9</v>
      </c>
      <c r="Z23" s="16">
        <f ca="1"/>
        <v>3</v>
      </c>
      <c r="AA23" s="16">
        <f ca="1"/>
        <v>6.67</v>
      </c>
      <c r="AB23" s="16">
        <f ca="1"/>
        <v>1.82</v>
      </c>
      <c r="AC23" s="16">
        <f ca="1"/>
        <v>67.17</v>
      </c>
      <c r="AD23" s="16">
        <f ca="1"/>
        <v>54.08</v>
      </c>
      <c r="AE23" s="16"/>
      <c r="AF23" s="16">
        <f ca="1"/>
        <v>70.989999999999995</v>
      </c>
      <c r="AG23" s="16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19" t="s">
        <v>111</v>
      </c>
      <c r="B24" s="52">
        <f t="shared" ca="1" si="0"/>
        <v>0.93912037037037033</v>
      </c>
      <c r="C24" s="29"/>
      <c r="D24" s="53">
        <f t="shared" ca="1" si="2"/>
        <v>80</v>
      </c>
      <c r="E24" s="29">
        <f ca="1"/>
        <v>209</v>
      </c>
      <c r="F24" s="29">
        <f ca="1"/>
        <v>44</v>
      </c>
      <c r="G24" s="59">
        <f ca="1"/>
        <v>9.48</v>
      </c>
      <c r="H24" s="16">
        <f ca="1"/>
        <v>2.99</v>
      </c>
      <c r="I24" s="16">
        <f ca="1"/>
        <v>27.35</v>
      </c>
      <c r="J24" s="16">
        <f ca="1"/>
        <v>303</v>
      </c>
      <c r="K24" s="16">
        <f ca="1"/>
        <v>7.4</v>
      </c>
      <c r="L24" s="16">
        <f ca="1"/>
        <v>43.21</v>
      </c>
      <c r="M24" s="56">
        <f t="shared" ca="1" si="1"/>
        <v>0.22405434134453345</v>
      </c>
      <c r="N24" s="16">
        <f ca="1"/>
        <v>5.8</v>
      </c>
      <c r="O24" s="16">
        <f ca="1"/>
        <v>4.26</v>
      </c>
      <c r="P24" s="16">
        <f ca="1"/>
        <v>30.85</v>
      </c>
      <c r="Q24" s="16">
        <f ca="1"/>
        <v>83.99</v>
      </c>
      <c r="R24" s="16">
        <f ca="1"/>
        <v>57.21</v>
      </c>
      <c r="S24" s="16">
        <f ca="1"/>
        <v>215</v>
      </c>
      <c r="T24" s="16">
        <f ca="1"/>
        <v>104</v>
      </c>
      <c r="U24" s="16">
        <f ca="1"/>
        <v>1.98</v>
      </c>
      <c r="V24" s="16">
        <f ca="1"/>
        <v>22.62</v>
      </c>
      <c r="W24" s="4">
        <f ca="1"/>
        <v>218</v>
      </c>
      <c r="X24" s="16">
        <f ca="1"/>
        <v>113.47</v>
      </c>
      <c r="Y24" s="16">
        <f ca="1"/>
        <v>493.59</v>
      </c>
      <c r="Z24" s="16">
        <f ca="1"/>
        <v>3</v>
      </c>
      <c r="AA24" s="16">
        <f ca="1"/>
        <v>6.78</v>
      </c>
      <c r="AB24" s="16">
        <f ca="1"/>
        <v>2.77</v>
      </c>
      <c r="AC24" s="16">
        <f ca="1"/>
        <v>68.37</v>
      </c>
      <c r="AD24" s="16">
        <f ca="1"/>
        <v>55.15</v>
      </c>
      <c r="AE24" s="16"/>
      <c r="AF24" s="16">
        <f ca="1"/>
        <v>63.96</v>
      </c>
      <c r="AG24" s="16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14"/>
      <c r="B25" s="29"/>
      <c r="C25" s="29"/>
      <c r="D25" s="29"/>
      <c r="E25" s="29"/>
      <c r="F25" s="29"/>
      <c r="G25" s="29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4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14"/>
      <c r="B26" s="29"/>
      <c r="C26" s="29"/>
      <c r="D26" s="29"/>
      <c r="E26" s="29"/>
      <c r="F26" s="29"/>
      <c r="G26" s="29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4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14"/>
      <c r="B27" s="29"/>
      <c r="C27" s="29"/>
      <c r="D27" s="29"/>
      <c r="E27" s="29"/>
      <c r="F27" s="29"/>
      <c r="G27" s="29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4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14"/>
      <c r="B28" s="29"/>
      <c r="C28" s="29"/>
      <c r="D28" s="29"/>
      <c r="E28" s="29"/>
      <c r="F28" s="29"/>
      <c r="G28" s="29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4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</sheetData>
  <mergeCells count="69">
    <mergeCell ref="AI12:AX12"/>
    <mergeCell ref="AY12:AZ12"/>
    <mergeCell ref="P5:Q5"/>
    <mergeCell ref="P6:Q6"/>
    <mergeCell ref="P7:Q7"/>
    <mergeCell ref="B7:C7"/>
    <mergeCell ref="G12:K12"/>
    <mergeCell ref="N12:Q12"/>
    <mergeCell ref="R12:Z12"/>
    <mergeCell ref="AA12:AD12"/>
    <mergeCell ref="AE12:AH12"/>
    <mergeCell ref="B5:C5"/>
    <mergeCell ref="F5:G5"/>
    <mergeCell ref="K5:L5"/>
    <mergeCell ref="B6:C6"/>
    <mergeCell ref="F6:G6"/>
    <mergeCell ref="K6:L6"/>
    <mergeCell ref="AU3:AU4"/>
    <mergeCell ref="AV3:AV4"/>
    <mergeCell ref="AW3:AW4"/>
    <mergeCell ref="AX3:AX4"/>
    <mergeCell ref="AY3:AY4"/>
    <mergeCell ref="AZ3:AZ4"/>
    <mergeCell ref="AO3:AO4"/>
    <mergeCell ref="AP3:AP4"/>
    <mergeCell ref="AQ3:AQ4"/>
    <mergeCell ref="AR3:AR4"/>
    <mergeCell ref="AS3:AS4"/>
    <mergeCell ref="AT3:AT4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W3:W4"/>
    <mergeCell ref="X3:X4"/>
    <mergeCell ref="Y3:Y4"/>
    <mergeCell ref="Z3:Z4"/>
    <mergeCell ref="AA3:AA4"/>
    <mergeCell ref="AB3:AB4"/>
    <mergeCell ref="Q3:Q4"/>
    <mergeCell ref="R3:R4"/>
    <mergeCell ref="S3:S4"/>
    <mergeCell ref="T3:T4"/>
    <mergeCell ref="U3:U4"/>
    <mergeCell ref="V3:V4"/>
    <mergeCell ref="I3:I4"/>
    <mergeCell ref="J3:J4"/>
    <mergeCell ref="K3:K4"/>
    <mergeCell ref="L3:L4"/>
    <mergeCell ref="M3:M4"/>
    <mergeCell ref="N3:N4"/>
    <mergeCell ref="A1:F2"/>
    <mergeCell ref="G1:M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2026-07-16T19:42:30Z</dcterms:created>
  <dcterms:modified xsi:type="dcterms:W3CDTF">2026-07-16T19:56:35Z</dcterms:modified>
</cp:coreProperties>
</file>